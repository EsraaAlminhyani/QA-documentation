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8.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9.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10.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L\Documents\Files\"/>
    </mc:Choice>
  </mc:AlternateContent>
  <xr:revisionPtr revIDLastSave="0" documentId="13_ncr:1_{1B68B070-CCC7-47CB-AED6-71DBC224F607}" xr6:coauthVersionLast="47" xr6:coauthVersionMax="47" xr10:uidLastSave="{00000000-0000-0000-0000-000000000000}"/>
  <bookViews>
    <workbookView xWindow="28680" yWindow="-120" windowWidth="29040" windowHeight="15720" tabRatio="958" xr2:uid="{00000000-000D-0000-FFFF-FFFF00000000}"/>
  </bookViews>
  <sheets>
    <sheet name="رابط النظام وقائمة المستخدمين" sheetId="89" r:id="rId1"/>
    <sheet name="اسناد مهمة شخصية" sheetId="74" r:id="rId2"/>
    <sheet name="اسناد مهمة لموظف" sheetId="87" r:id="rId3"/>
    <sheet name="اسناد مهمة لفريق" sheetId="86" r:id="rId4"/>
    <sheet name="اسناد مهمه لمنصب خاص" sheetId="88" r:id="rId5"/>
    <sheet name="امكانية اسناد مهمة الى اخرين" sheetId="85" r:id="rId6"/>
    <sheet name="مهمة مسندة الى اخرين" sheetId="82" state="hidden" r:id="rId7"/>
    <sheet name="اسناد مهمه لممثل الادارة " sheetId="90" r:id="rId8"/>
    <sheet name="التفويض" sheetId="79" r:id="rId9"/>
    <sheet name="لوحة المعلومات" sheetId="78" r:id="rId10"/>
    <sheet name="التقارير" sheetId="77" r:id="rId11"/>
  </sheets>
  <externalReferences>
    <externalReference r:id="rId12"/>
  </externalReferences>
  <definedNames>
    <definedName name="_PassFail">[1]_Values_!$U$3:$U$5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79" l="1"/>
  <c r="P10" i="79"/>
  <c r="P10" i="77"/>
  <c r="P11" i="77"/>
  <c r="P12" i="90"/>
  <c r="P10" i="90"/>
  <c r="P10" i="78"/>
  <c r="P11" i="78"/>
  <c r="P10" i="85"/>
  <c r="P12" i="85"/>
  <c r="P12" i="88"/>
  <c r="P10" i="88"/>
  <c r="P12" i="86"/>
  <c r="P10" i="86"/>
  <c r="P12" i="87"/>
  <c r="P10" i="87"/>
  <c r="O12" i="74"/>
  <c r="O10" i="74"/>
  <c r="Q7" i="89"/>
  <c r="Q8" i="89"/>
  <c r="Q9" i="89"/>
  <c r="O10" i="89"/>
  <c r="P11" i="82"/>
  <c r="R10" i="82"/>
  <c r="P10" i="82"/>
  <c r="R9" i="82"/>
  <c r="R8" i="82"/>
  <c r="R7" i="82"/>
  <c r="Q7" i="74"/>
  <c r="Q8" i="74"/>
  <c r="Q9" i="74"/>
  <c r="Q10" i="74"/>
</calcChain>
</file>

<file path=xl/sharedStrings.xml><?xml version="1.0" encoding="utf-8"?>
<sst xmlns="http://schemas.openxmlformats.org/spreadsheetml/2006/main" count="821" uniqueCount="252">
  <si>
    <t xml:space="preserve">سيناريو اختبار النظام </t>
  </si>
  <si>
    <t>ريوف الحربي</t>
  </si>
  <si>
    <t>اسم النظام</t>
  </si>
  <si>
    <t xml:space="preserve">ادارة المهام </t>
  </si>
  <si>
    <t>ريماز المجنحي</t>
  </si>
  <si>
    <t>الاسم</t>
  </si>
  <si>
    <t xml:space="preserve">قائمة المستخدمين </t>
  </si>
  <si>
    <t xml:space="preserve">فريق الجودة </t>
  </si>
  <si>
    <t>فشل</t>
  </si>
  <si>
    <t>URL</t>
  </si>
  <si>
    <t>portal</t>
  </si>
  <si>
    <t>Admin  </t>
  </si>
  <si>
    <t>الإدارات</t>
  </si>
  <si>
    <t>الإسم</t>
  </si>
  <si>
    <t>اسم المستخدم</t>
  </si>
  <si>
    <t>كلمة المرور</t>
  </si>
  <si>
    <t>الإدارة</t>
  </si>
  <si>
    <t>المنصب</t>
  </si>
  <si>
    <t>ممثل الإدارة</t>
  </si>
  <si>
    <t>الإدارة العامة للبنية التحتية الرقمية</t>
  </si>
  <si>
    <t>مطور انظمة</t>
  </si>
  <si>
    <t>لا</t>
  </si>
  <si>
    <t>A</t>
  </si>
  <si>
    <t>الإدارة العامة لدعم الخدمات الرقمية</t>
  </si>
  <si>
    <t>نعم</t>
  </si>
  <si>
    <t>B</t>
  </si>
  <si>
    <t>C</t>
  </si>
  <si>
    <t>D</t>
  </si>
  <si>
    <t>الإدارة العامة لحلول الاعمال</t>
  </si>
  <si>
    <t>المدير العام</t>
  </si>
  <si>
    <t>K</t>
  </si>
  <si>
    <t>W</t>
  </si>
  <si>
    <t>محلل اعمال</t>
  </si>
  <si>
    <t>الفريق 1</t>
  </si>
  <si>
    <t>مدير</t>
  </si>
  <si>
    <t>سكرتير</t>
  </si>
  <si>
    <t>مستلم المهام</t>
  </si>
  <si>
    <t>الفريق 2</t>
  </si>
  <si>
    <t>ادارة المهام</t>
  </si>
  <si>
    <t>وصف سيناريو الإختبار</t>
  </si>
  <si>
    <t xml:space="preserve">امكانية اسناد مهمة شخصية </t>
  </si>
  <si>
    <t>نجح</t>
  </si>
  <si>
    <t>سلطان نعمان</t>
  </si>
  <si>
    <t>رقم</t>
  </si>
  <si>
    <t>شروط مسبقة</t>
  </si>
  <si>
    <t xml:space="preserve">وصف حالة الاختبار </t>
  </si>
  <si>
    <t xml:space="preserve">حالات الاختبار  </t>
  </si>
  <si>
    <t>النتائج المتوقعة</t>
  </si>
  <si>
    <t xml:space="preserve">النتائج الفعلية </t>
  </si>
  <si>
    <t>نتائج الإختبار</t>
  </si>
  <si>
    <t xml:space="preserve"> تسجيل الدخول الى نظام إدارة المهام  
 اسم المستخدم: Admin
كلمة السر:1 </t>
  </si>
  <si>
    <t xml:space="preserve">إنشاء مهمة حرة </t>
  </si>
  <si>
    <r>
      <rPr>
        <sz val="16"/>
        <color rgb="FF000000"/>
        <rFont val="Tahoma"/>
        <family val="2"/>
      </rPr>
      <t>الانتقال الى الصفحة الرئيسية يمكن انشاء مهمة عبر زر "</t>
    </r>
    <r>
      <rPr>
        <b/>
        <sz val="16"/>
        <color rgb="FF000000"/>
        <rFont val="Tahoma"/>
        <family val="2"/>
      </rPr>
      <t>إنشاء مهمة جديدة</t>
    </r>
    <r>
      <rPr>
        <sz val="16"/>
        <color rgb="FF000000"/>
        <rFont val="Tahoma"/>
        <family val="2"/>
      </rPr>
      <t>" اعلى يمين الشاشة او عن طريق الانتقال الى "</t>
    </r>
    <r>
      <rPr>
        <b/>
        <sz val="16"/>
        <color rgb="FF000000"/>
        <rFont val="Tahoma"/>
        <family val="2"/>
      </rPr>
      <t>إنشاء مهمة</t>
    </r>
    <r>
      <rPr>
        <sz val="16"/>
        <color rgb="FF000000"/>
        <rFont val="Tahoma"/>
        <family val="2"/>
      </rPr>
      <t xml:space="preserve">" من القائمة الجانبية </t>
    </r>
  </si>
  <si>
    <t>إمكانية النقر على زر إنشاء المهمة لتظهر شاشة انشاء مهمة</t>
  </si>
  <si>
    <t>يتم تعبئة بيانات المهمة وعند التأشير بالسهم على الحقول يظهر الوصف التوضيحي :-
1- اسم المهمة (حقل اجباري)
2- درجة الأهمية (عادي - مهمة - مهمة جدا) - (قائمة اجبارية)
3- تصنيف المهمة (يتم استعراض قائمة بالتصنيفات الرئيسية للمهمة والتصنيفات الفرعية للمهمة) (اختيار مهمة مرتبطة باهداف واختيار التصنيف الفرعي للهدف)
4- درجة السرية (عام - مقيد - سري - سري للغاية) - (قائمة اجبارية) (عند اختيار مهمة مرتبطة باهداف تصبح درجة السرية عامة فقط)
5-تاريخ البدء - تاريخ الاستحقاق (حقل اجباري)
6 - امكانية إسناد الى أخرين Checkbox (عند الاختيار يمكن اسناد المهمة لموظفين اخرين لاحقا عند اكمال اجراءات المهمة ولكن عند اختيار مهمة مرتبطة باهداف لايمكن اسناد المهمة الى اخرين)
7- عدم سماح النظام بحفظ المهمة في حال عدم تعبئة المستخدم للحقول الاجبارية 
8- النقر على زر "حفظ" 
9-بعد النقر على حفظ تظهر رسالة من النظام بتأكيد تنفيذ الاجراء وحفظ المهمه ويتم الانتقال تلقائيا الى شاشة مسودة المهمة 
10- عند النقر على زر" الغاء" سيتم التراجع عن البيانات المدخلة ولايتم حفظها</t>
  </si>
  <si>
    <t xml:space="preserve">إمكانية المستخدم من تعبئة البيانات </t>
  </si>
  <si>
    <t>إنشاء مهمة حرة - المخرجات</t>
  </si>
  <si>
    <r>
      <rPr>
        <sz val="16"/>
        <color rgb="FF000000"/>
        <rFont val="Tahoma"/>
        <family val="2"/>
      </rPr>
      <t>بعد انشاء المهمه تكون حالة المهمة "مسودة" وتظهر ثلاثة تبويبات لاكمال إجراءات المهمة ( بيانات المهمة - المخرجات - المرفقات) 
بعد النقر على نافذة المخرجات يظهر زر لاضافة مخرجات المهمة "</t>
    </r>
    <r>
      <rPr>
        <b/>
        <sz val="16"/>
        <color rgb="FF000000"/>
        <rFont val="Tahoma"/>
        <family val="2"/>
      </rPr>
      <t>+ إضافة</t>
    </r>
    <r>
      <rPr>
        <sz val="16"/>
        <color rgb="FF000000"/>
        <rFont val="Tahoma"/>
        <family val="2"/>
      </rPr>
      <t>" والمتبقي من نسبة المخرج للمهمة (100 %) :- 
1- المخرج (حقل اجباري) 
2- نسبة المخرج للمهمة (من 0% الى 100%) 
3- أنواع الملفات (قائمة اجبارية) (وهي انواع الملفات التي يطلب منها مستلم المهمة رفعها فقط)
4- تاريخ البدء - تاريخ الاستحقاق ( حقل اجباري) (تاريخ البدء وتاريخ الاستحقاق للمخرج يجب ان يكون اصغر من تاريخ البدء وتاريخ الاستحقاق للمهمة، ويستعرض النظام رسالة خطأ عند ادخال تاريخ اكبر من تاريخ المهمة )
5- وصف المخرج (حقل اختياري)  Rich text editor 
6- يمكن اضافة اكثر من مخرج بحيث يكون مجموع نسب المخرجات 100% و لايمكن اضافة مخرج اخر 
7- عند النقر على حفظ تظهر رسالة تأكيدية من النظام بتأكيد تنفيذ اجراء المخرج
8- يمكن التعديل على بيانات المخرج عبر القائمة يسار المخرج (اجراءات المخرج)،وتحديث البيانات بنجاح قبل ارسال المهمة (من قبل منشئ المهمة)</t>
    </r>
  </si>
  <si>
    <t xml:space="preserve">إمكانية تعبئة بيانات المخرج  </t>
  </si>
  <si>
    <t>إنشاء مهمة حرة - حذف المخرج</t>
  </si>
  <si>
    <t>حذف المخرج عبر القائمة في يسار المخرج ، وحذف المخرج بنجاح من خلال منشئ المهمة عندما تكون حالة المهمة "مسودة"</t>
  </si>
  <si>
    <t xml:space="preserve">إمكانية حذف المخرج  </t>
  </si>
  <si>
    <t>إنشاء مهمة حرة - المرفقات</t>
  </si>
  <si>
    <r>
      <rPr>
        <sz val="16"/>
        <color rgb="FF000000"/>
        <rFont val="Tahoma"/>
        <family val="2"/>
      </rPr>
      <t>يمكن  إضافة مرفق عبر القائمة في يسار المخرج، بعد فتح نافذة مرفق جديد " يظهر زر "</t>
    </r>
    <r>
      <rPr>
        <b/>
        <sz val="16"/>
        <color rgb="FF000000"/>
        <rFont val="Tahoma"/>
        <family val="2"/>
      </rPr>
      <t>+ إضافة مرفق جديد</t>
    </r>
    <r>
      <rPr>
        <sz val="16"/>
        <color rgb="FF000000"/>
        <rFont val="Tahoma"/>
        <family val="2"/>
      </rPr>
      <t>"
1-المرفقات (حقل اجباري) الإمتدادات المسموح بها .bmp.png.jpg.jpeg.pdf.zip.docx.gif.tif.tiff.xls.xlsx
2-وصف المرفق (حقل اختياري)
3-المستخدمون  ( حقل اختياري)
يمكن للمستخدم ارفاق الملفات المدعوم لها، وعند اختيار ملف غير مسموح تظهر رسالة خطأ من النظام  " امتداد الملف غير مسموح به"</t>
    </r>
  </si>
  <si>
    <t xml:space="preserve">إمكانية اضافة مرفق </t>
  </si>
  <si>
    <t>إنشاء مهمة حرة  - تعديل بيانات المهمة</t>
  </si>
  <si>
    <t xml:space="preserve">النقر على "تعديل بيانات المهمة" من القائمة المنسدلة لإجراءات المهمة، يستعرض النظام بيانات المهمة ليتم التعديل عليها، وان النظام يسمح للمستخدم بالتعديل فقط قبل ارسال المهمة و يمكن النقر على زر "حفظ"، ويستعرض النظام رسالة تأكيدية "تم تنفيذ الاجراء بنجاح" </t>
  </si>
  <si>
    <t xml:space="preserve">إمكانية التعديل على بيانات المهمة </t>
  </si>
  <si>
    <t>إنشاء مهمة حرة - حذف مهمة</t>
  </si>
  <si>
    <t xml:space="preserve">النقر على زر "حذف يتم حذف المهمة، وان النظام يسمح للمستخدم بحذف المهمة بحالة "مسودة" فقط قبل الارسال ، ويستعرض النظام رسالة تأكيدية"تم تنفيذ الاجراء بنجاح" </t>
  </si>
  <si>
    <t>إمكانية حذف المهمة</t>
  </si>
  <si>
    <t xml:space="preserve"> ارسال (اسناد شخصي)</t>
  </si>
  <si>
    <t>الانتقال الى المهمة التي تم انشائها 
عند النقر على زر "ارسال تظهر نافذة" تأكيد عملية الارسال"
وبتم تعبئة
1- "نوع الاسناد" (شخصي - اسناد الى موظف - اسناد لفريق)  - (قائمة اجبارية) ( اختيار نوع الاسناد شخصي) ( وفي حال كان تصنيف المهمة مرتبطة باهداف يمكن الاسناد بشكل شخصي فقط) 
2- "ملاحظات" (حقل اختياري) 
3- النقر على زر " حفظ" 
4- عند النقر على حفط تظهر رسالة تأكيدية من النظام "تم تنفيذ الاجراء بنجاح 
5-  بعد اسناد المهمه تصبح حالة المهمة "قيد التنفيذ" ، ويتم انشاء رقم المهمة تلقائيا من قبل النظام</t>
  </si>
  <si>
    <t xml:space="preserve">يتم استعراض بيانات الارسال </t>
  </si>
  <si>
    <t xml:space="preserve">العمل على مهمة حرة </t>
  </si>
  <si>
    <t xml:space="preserve"> الانتقال للمهمه المسندة عبر القائمة الرئيسية، مجلد المهام المستلمة "قيد التنفيذ"، واختيار المهمه المسندة بشكل شخصي والاطلاع على بيانات المهمة </t>
  </si>
  <si>
    <t>الانتقال الى مجلد المهمة المستلمة</t>
  </si>
  <si>
    <t xml:space="preserve">العمل على مهمة حرة - استلام شخصي </t>
  </si>
  <si>
    <t xml:space="preserve"> الانتقال الى تبويب "المخرجات" يمكن الاطلاع على بيانات المخرجات التي تمت اضافتها وتنفيذ اجراء عليها
، تنفيذ اجراء على المخرج عبر قائمة المخرج يسار الشاشة (إضافة مرفق - كتابة ملاحظات - تحديث نسبة الانجاز) عند مهمة بحالة "قيد التنفيذ"</t>
  </si>
  <si>
    <t xml:space="preserve">امكانية تنفيذ الاجراءات </t>
  </si>
  <si>
    <t xml:space="preserve">1- النقر على "إضافة مرفق جديد" و بامكان المستخدم ارفاق مرفق جديد  
 2- الامتدادات المسوح بها تطابق الامتدادات التي تم اضافتها عندما تم اضافة مخرج جديد وان النظام لايسمح بارفاق مرفق غير مسموح 
3- النقر على "حفظ" يتم اضافة مرفق جديد وبامكان المستخدم الاطلاع على المرفق 
4-  النقر على"كتابة ملاحظات" بإمكان المستخدم كتابة ملاحظات على مستوى المخرج ويمكن الاطلاع على الملاحظة في تبويبة المخرج </t>
  </si>
  <si>
    <t xml:space="preserve">النظام لايسمح بارفاق مرفق غير مسموح </t>
  </si>
  <si>
    <t xml:space="preserve"> عندما يكون عدد المخرجات كالاتي:
1- مخرج 1 نسبة المخرج للمهمة = 60%
2- مخرج 2  نسبة المخرج للمهمة  = 30% 
3 - مخرج 3  نسبة المخرج للمهمة  = 10%
 عند اختيار مخرج 2 و النقر على"تحديث نسبة الانجاز" يمكن للمستخدم اختيار نسبة الانجاز للمخرج من 0% الى 100%
وسيقوم النظام بتحديث نسبة الانجاز المخرج للمهمه  التي اختارها المستخدم  وتحديث مستوى نسبة الانجاز المهمة بحيث يساوي مجموع نسب انجاز المخرجات</t>
  </si>
  <si>
    <t>نسبة الانجاز الكلية للمخرجات 100%</t>
  </si>
  <si>
    <t>الغاء المهمة</t>
  </si>
  <si>
    <t xml:space="preserve">1-  الغاء المهمة عبر  القائمة "اجراءات المهمة"على يسار الشاشة "الغاء المهمة" 
 2- النقر على "الغاء  المهمة" تظهر نافذة تأكيد عملية إلغاز المهمة مع امكانية اضافة السبب واختيار (نعم او لا ) 
وعند النقر على نعم تظهر رسالة تأكيدية من النظام "تم تنفيذ الاجراء بنجاح" </t>
  </si>
  <si>
    <t xml:space="preserve">امكانية الغاء المهمة </t>
  </si>
  <si>
    <t xml:space="preserve">إنجاز مهمة حرة </t>
  </si>
  <si>
    <t xml:space="preserve">1-  انجاز المهمة عبر  القائمة "اجراءات المهمة"على يسار الشاشة "انجاز المهمة" 
 2- النقر على "انجاز المهمة" تظهر نافذة تأكيد عملية إنجاز المهمة مع امكانية اضافة ملاحظات واختيار (نعم او لا ) 
وعند النقر على نعم تظهر رسالة تأكيدية من النظام "تم تنفيذ الاجراء بنجاح" </t>
  </si>
  <si>
    <t xml:space="preserve">امكانية انجاز المهمة </t>
  </si>
  <si>
    <t>الانتقال الى مجلد المهام المرسله (مجلد  المنجزه) للاطلاع على المهمة المنجزه</t>
  </si>
  <si>
    <t>الانتقال الى مجلد المنجزة</t>
  </si>
  <si>
    <t>اسناد مهمة لموظف</t>
  </si>
  <si>
    <t>يتم تعبئة بيانات المهمة:-
1- اسم المهمة (حقل اجباري)
2- درجة الأهمية (عادي - مهمة - مهمة جدا) - (قائمة اجبارية)
3- تصنيف المهمة (قائمة اجبارية) ( تصنيفات رئيسية وتصنيفات فرعية) 
4- درجة السرية (عام - مقيد - سري - سري للغاية) - (قائمة اجبارية)
5-تاريخ البدء - تاريخ الاستحقاق (حقل اجباري)
6 - امكانية إسناد الى أخرين Checkbox (عند الاختيار يمكن اسناد المهمة لمستخدمين اخرين لاحقا عند اكمال اجراءات المهمة)
7- عدم سماح النظام بحفظ المهمة في حال عدم تعبئة المستخدم للحقول الاجبارية 
8- النقر على زر "حفظ" 
9-بعد النقر على حفظ تظهر رسالة من النظام بتأكيد تنفيذ الاجراء وحفظ المهمه ويتم الانتقال تلقائيا الى شاشة مسودة المهمة 
10- عند النقر على زر" الغاء" سيتم التراجع عن البيانات المدخلة ولايتم حفظها</t>
  </si>
  <si>
    <r>
      <rPr>
        <sz val="16"/>
        <color rgb="FF000000"/>
        <rFont val="Tahoma"/>
        <family val="2"/>
      </rPr>
      <t>بعد انشاء المهمه تكون حالة المهمة "مسودة" وتظهر ثلاثة تبويبات لاكمال إجراءات المهمة ( بيانات المهمة - المخرجات - المرفقات) 
بعد النقر على نافذة المخرجات يظهر زر لاضافة مخرجات المهمة "</t>
    </r>
    <r>
      <rPr>
        <b/>
        <sz val="16"/>
        <color rgb="FF000000"/>
        <rFont val="Tahoma"/>
        <family val="2"/>
      </rPr>
      <t>+ إضافة</t>
    </r>
    <r>
      <rPr>
        <sz val="16"/>
        <color rgb="FF000000"/>
        <rFont val="Tahoma"/>
        <family val="2"/>
      </rPr>
      <t>" والمتبقي من نسبة المخرج للمهمة (100 %) :- :- 
1- المخرج (حقل اجباري) 
2- نسبة المخرج للمهمة (من 0% الى 100%) 
3- أنواع الملفات (قائمة اجبارية) (وهي انواع الملفات التي يطلب منها مستلم المهمة رفعها فقط)
4- تاريخ البدء - تاريخ الاستحقاق ( حقل اجباري) (ان تاريخ البدء وتاريخ الاستحقاق للمخرج يجب ان يكون اصغر من تاريخ البدء وتاريخ الاستحقاق للمهمة، ويستعرض النظام رسالة خطأ عند ادخال تاريخ اكبر من المهمة )
5- وصف المخرج (حقل اختياري)  Rich text editor 
6- يمكن اضافة اكثر من مخرج بحيث يكون مجموع نسب المخرجات 100% و لايمكن اضافة مخرج اخر 
7- عند النقر على حفظ تظهر رسالة تأكيدية من النظام بتأكيد تنفيذ اجراء المخرج
8- يمكن التعديل على بيانات المخرج عبر القائمة يسار المخرج (اجراءات المخرج)،وتحديث البيانات بنجاح قبل ارسال المهمة (من قبل منشئ المهمة)</t>
    </r>
  </si>
  <si>
    <t>ارسال-  اسناد الى موظف</t>
  </si>
  <si>
    <t xml:space="preserve">الانتقال الى المهمة التي تم انشائها وبتم تعبئة:
1- ""نوع الاسناد"" (شخصي - اسناد الى موظف - اسناد لفريق)  - (قائمة اجبارية) ( اختيار نوع الاسناد الى موظف)
2- "اسناد الى" (سيتم استعراض قائمة الموظفين بالادارة الرئيسية والادارات الفرعية لها)(اختيار موظف "فواز المقدم" من القائمة) 
2- ""ملاحظات"" (حقل اختياري) 
3- النقر على زر "" حفظ"" 
4- عند النقر على حفظ تظهر رسالة تأكيدية من النظام "تم تنفيذ الاجراء بنجاح "
5-  بعد اسناد المهمه تصبح حالة المهمة ""قيد التنفيذ"" ، ويتم انشاء رقم المهمة تلقائيا من قبل النظام" 
6-  عند اختيار اسناد الى موظف لايمتلك صلاحية درجة السرية للمهمة ، تظهر رسالة من النظام ان "المستخدم لايمتلك الصلاحية درجة السرية المطلوبة" وان النظام يسمح للمستخدم باسناد الى موظف يمتلك الصلاحية فقط
7- يمكن استعراض جميع الموظفين في كل الادارات حسب صلاحية الموظف </t>
  </si>
  <si>
    <t xml:space="preserve">إمكانية الاسناد الى موظف </t>
  </si>
  <si>
    <t xml:space="preserve"> تسجيل الدخول الى نظام إدارة المهام  
 اسم المستخدم: A
كلمة السر:1</t>
  </si>
  <si>
    <t xml:space="preserve">قبول المهمة -  مسند الى موظف </t>
  </si>
  <si>
    <t xml:space="preserve">الانتقال الى مجلد المهام المستلمة من القائمة الجانبية، و استلام المهمة من مجلد "المستلمه الجديدة" من قبل ممثل الادارة للمهمة والاطلاع على مهمة بحالة "جديدة" </t>
  </si>
  <si>
    <t xml:space="preserve">حالة المهمة = جديدة </t>
  </si>
  <si>
    <t xml:space="preserve"> 1- الاطلاع على المهمة من قبل الموظف ، يمكن تنفيذ اجراء القبول عبر قائمة "اجراءات المهمة" يسار الشاشة والنقر على "قبول المهمة" 
2- تظهر نافذة تأكيد قبول المهمة  النقر على (نعم او لا ) 
3-   النقر على "نعم" يتم تحديث حالة المهمة الى تحت التنفيذ </t>
  </si>
  <si>
    <t>حالة المهمة = تحت التنفيذ</t>
  </si>
  <si>
    <t xml:space="preserve">اعادة المهمة -  مسند الى موظف </t>
  </si>
  <si>
    <t xml:space="preserve">ويمكن تنفيذ اجراء إعادة المهمة عبر قائمة "اجراءات المهمة" يسار الشاشة والنقر على "اعادة المهمة" 
2- تظهر نافذة اعادة المهمة النقر على (نعم او لا ) 
3-   النقر على "نعم " يتم اعادة المهمة 
وعند  اعادة المهمة من قبل الموظف، يتم اعادة المهمة الى المنشئ وتصبح حالة المهمة " معادة" </t>
  </si>
  <si>
    <t xml:space="preserve">حالة المهمة = معادة </t>
  </si>
  <si>
    <t>العمل على مهمة حرة - استلام الى موظف</t>
  </si>
  <si>
    <t xml:space="preserve"> النقر على المهمه المسندة الى الموظف والاطلاع على بيانات المهمة 
</t>
  </si>
  <si>
    <t xml:space="preserve">امكانية تنفيذ اجراء على المخرج </t>
  </si>
  <si>
    <t>المخرجات - استلام الى موظف</t>
  </si>
  <si>
    <t>1- الانتقال الى تبويب "المخرجات" يمكن الاطلاع على بيانات المخرجات التي تمت اضافتها وتنفيذ الاجراء عليها 
2- يمكن للمستخدم من تنفيذ اجراء على المخرج عبر قائمة المخرج يسار الشاشة (إضافة مرفق - كتابة ملاحظات - تحديث نسبة الانجاز) بحالة "قيد التنفيذ"</t>
  </si>
  <si>
    <t>المرفقات  - استلام الى موظف</t>
  </si>
  <si>
    <t>امكانية ارفاق مرفق جديد</t>
  </si>
  <si>
    <t>تنفيذ اجراء "اجراءات المهمة " والنقر على " ارسال للموافقة" 
(يتم ارسال المهمة الى منشئ المهمة للموافقة عليها ويتم الانتقال المهمة الى مجلد المهام المنجزة)</t>
  </si>
  <si>
    <t xml:space="preserve">طلب ارسال للموافقة </t>
  </si>
  <si>
    <t xml:space="preserve">اعتماد اغلاق المهمة </t>
  </si>
  <si>
    <t xml:space="preserve"> الانتقال للمهمه المسندة عبر القائمة الرئيسية، مجلد المهام المستلمة، مجلد قيد الموافقة</t>
  </si>
  <si>
    <t>الانتقال الى المجلد</t>
  </si>
  <si>
    <t xml:space="preserve">النقر على المهمه المسندة  بحالة "قيد الموافقة" والاطلاع على بيانات المهمة </t>
  </si>
  <si>
    <t xml:space="preserve">الاطلاع على المهمة </t>
  </si>
  <si>
    <t xml:space="preserve">1- يمكن تنفيذ اجراء اعتماد المهمة عبر قائمة اجراءات المهمة يسار اعلى الشاشة من خلال المنشئ (اعتماد المهمة) 
2- تظهر رسالة بتأكيد عملية اعتماد المهمة مع الملاحظات واختيار (نعم - لا) </t>
  </si>
  <si>
    <t xml:space="preserve">امكانية تنفيذ اجراء اعتماد المهمة </t>
  </si>
  <si>
    <t xml:space="preserve"> تسجيل الدخول الى نظام إدارة المهام  
 اسم المستخدم: Admin
كلمة السر:2</t>
  </si>
  <si>
    <t xml:space="preserve">عدم اعتماد اغلاق المهمة </t>
  </si>
  <si>
    <t>1- يمكن تنفيذ اجراء عدم اعتماد المهمة عبر قائمة اجراءات المهمة يسار اعلى الشاشة من خلال المنشئ (عدم اعتماد المهمة) 
2- تظهر رسالة بتأكيد عملية عدم اعتماد المهمة مع الملاحظات واختيار (نعم - لا) وسيتم تحديث حالة المهمة الى قيد التنفيذ للمسند اليه المهمة</t>
  </si>
  <si>
    <t xml:space="preserve">امكانية تنفيذ اجراء عدم اعتماد المهمة </t>
  </si>
  <si>
    <t xml:space="preserve">1-  انجاز المهمة عبر  القائمة "اجراءات المهمة"على يسار الشاشة "انجاز المهمة" 
 2- النقر على "انجاز المهمة" تظهر نافذة تأكيد عملية إنجاز المهمة مع امكانية تقييم الموظف (5- استثنائي - 4- فوق التوقعات - 3 - حقق التوقع - 2- يحتاج الى تحسين -1- يحتاج الى تطوير ) وادخال ملاحظات واختيار (نعم او لا ) 
وعند النقر على نعم تظهر رسالة تأكيدية من النظام "تم تنفيذ الاجراء بنجاح" </t>
  </si>
  <si>
    <t xml:space="preserve"> طباعة تقرير المهمة</t>
  </si>
  <si>
    <t xml:space="preserve">النقر على "طباعة بيانات المهمة" من القائمة المنسدلة للإجراءات المهمة، يستعرض النظام   "تقرير المهمة" وعرض بيانات المهمه وبيانات المخرجات </t>
  </si>
  <si>
    <t xml:space="preserve">استعراض صفحة "تقرير المهمة" </t>
  </si>
  <si>
    <t>اسناد مهمة لفريق</t>
  </si>
  <si>
    <t>يتم تعبئة بيانات المهمة:-
1- اسم المهمة (حقل اجباري)
2- درجة الأهمية (عادي - مهمة - مهمة جدا) - (قائمة اجبارية)
3- تصنيف المهمة (قائمة اجبارية)  ( تصنيفات رئيسية وتصنيفات فرعية) 
4- درجة السرية (عام - مقيد - سري - سري للغاية) - (قائمة اجبارية)
5-تاريخ البدء - تاريخ الاستحقاق (حقل اجباري)
6 - امكانية إسناد الى أخرين Checkbox (عند الاختيار يمكن اسناد المهمة لمستخدمين اخرين لاحقا عند اكمال اجراءات المهمة)
7- عدم سماح النظام بحفظ المهمة في حال عدم تعبئة المستخدم للحقول الاجبارية 
8- النقر على زر "حفظ" 
9-بعد النقر على حفظ تظهر رسالة من النظام بتأكيد تنفيذ الاجراء وحفظ المهمه ويتم الانتقال تلقائيا الى شاشة مسودة المهمة 
10- عند النقر على زر" الغاء" سيتم التراجع عن البيانات المدخلة ولايتم حفظها</t>
  </si>
  <si>
    <t>يتم اضافة ثلاثة مخرجات:- 
1- المخرج: مخرج 1  نسبة المخرج للمهمة (60%)
2- المخرج: مخرج 2 نسبة المخرج للمهمة (40%)</t>
  </si>
  <si>
    <t xml:space="preserve">ادخال المخرجات </t>
  </si>
  <si>
    <r>
      <rPr>
        <sz val="16"/>
        <color rgb="FF000000"/>
        <rFont val="Tahoma"/>
        <family val="2"/>
      </rPr>
      <t>بعد انشاء المهمه تكون حالة المهمة "مسودة" وتظهر ثلاثة تبويبات لاكمال إجراءات المهمة ( بيانات المهمة - المخرجات - المرفقات) 
بعد النقر على نافذة المخرجات يظهر زر لاضافة مخرجات المهمة "</t>
    </r>
    <r>
      <rPr>
        <b/>
        <sz val="16"/>
        <color rgb="FF000000"/>
        <rFont val="Tahoma"/>
        <family val="2"/>
      </rPr>
      <t>+ إضافة</t>
    </r>
    <r>
      <rPr>
        <sz val="16"/>
        <color rgb="FF000000"/>
        <rFont val="Tahoma"/>
        <family val="2"/>
      </rPr>
      <t>"والمتبقي من نسبة المخرج للمهمة (100 %) :- :- 
1- المخرج (حقل اجباري) 
2- نسبة المخرج للمهمة (من 0% الى 100%) 
3- أنواع الملفات (قائمة اجبارية) (وهي انواع الملفات التي يطلب منها مستلم المهمة رفعها فقط)
4- تاريخ البدء - تاريخ الاستحقاق ( حقل اجباري) (ان تاريخ البدء وتاريخ الاستحقاق للمخرج يجب ان يكون اصغر من تاريخ البدء وتاريخ الاستحقاق للمهمة، ويستعرض النظام رسالة خطأ عند ادخال تاريخ اكبر من المهمة )
5- وصف المخرج (حقل اختياري)  Rich text editor 
6- يمكن اضافة اكثر من مخرج بحيث يكون مجموع نسب المخرجات 100% و لايمكن اضافة مخرج اخر 
7- عند النقر على حفظ تظهر رسالة تأكيدية من النظام بتأكيد تنفيذ اجراء المخرج
8- يمكن التعديل على بيانات المخرج عبر القائمة يسار المخرج (اجراءات المخرج)،وتحديث البيانات بنجاح قبل ارسال المهمة (من قبل منشئ المهمة)</t>
    </r>
  </si>
  <si>
    <t xml:space="preserve"> اسناد الى فريق</t>
  </si>
  <si>
    <t xml:space="preserve">الانتقال الى المهمة التي تم انشائها وبتم تعبئة:
1- ""نوع الاسناد""- (قائمة اجبارية) ( اختيار نوع الاسناد الى فريق)
2- "اسناد الى" (اختيار "الفريق 1" من القائمة)
2- ""ملاحظات"" (حقل اختياري) 
3- النقر على زر "" حفظ"" 
4- عند النقر على حفط تظهر رسالة تأكيدية من النظام ""تم تنفيذ الاجراء بنجاح 
5-  بعد اسناد المهمه تصبح حالة المهمة ""قيد التنفيذ"" ، ويتم انشاء رقم المهمة تلقائيا من قبل النظام" 
</t>
  </si>
  <si>
    <t xml:space="preserve">إمكانية اسناد لفريق </t>
  </si>
  <si>
    <t xml:space="preserve">قبول المهمة -  (مستلم الفريق) </t>
  </si>
  <si>
    <t xml:space="preserve"> 1- الاطلاع على المهمة من قبل مستلم او رئيس الفريق  ، يمكن تنفيذ اجراء القبول عبر قائمة "اجراءات المهمة" يسار الشاشة والنقر على "قبول المهمة" 
2- تظهر نافذة تأكيد قبول المهمة  النقر على (نعم او لا ) 
3-   النقر على "نعم" يتم تحديث حالة المهمة الى تحت التنفيذ </t>
  </si>
  <si>
    <t xml:space="preserve">اعادة المهمة -   (مستلم الفريق) </t>
  </si>
  <si>
    <t xml:space="preserve">ويمكن تنفيذ اجراء إعادة المهمة عبر قائمة "اجراءات المهمة" يسار الشاشة والنقر على "اعادة المهمة" 
2- تظهر نافذة اعادة المهمة النقر على (نعم او لا ) 
3-   النقر على "نعم " يتم اعادة المهمة 
وعند  اعادة المهمة من قبل مستلم الفريق، يتم اعادة المهمة الى المنشئ وتصبح حالة المهمة " معادة" </t>
  </si>
  <si>
    <t>العمل على مهمة حرة - (مستلم الفريق)</t>
  </si>
  <si>
    <t xml:space="preserve">الانتقال الى الفريق عبر النقر على السهم بجانب اسم الادارة يمين اعلى الشاشة واختيار الفريق من القائمة المنسدلة (الفريق1)
1-  الانتقال الى المهمه المسندة اليه عبر مجلد المهام المستلمة او عن طريق القائمة الرئيسية 
2- يمكن لمنشئ المهمة من تعيين المخرجات الى اعضاء الفريق عبر قائمة المخرج يسار الشاشة ( اسناد المخرج) 
" تعيين المخرجات الى اعضاء الفريق:-
1- مخرج 1 مسندة الى المستخدم: أنور السراج
2- مخرج 2  مسندة الى المستخدم: حسين محمد 
 تعيين مخرج الى عضو في الفريق لايمكن تنفيذ اجراء على مهمة مسندة الى عضو اخر 
 يمكن لاعضاء الفريق من تنفيذ اجراء على المخرج المسند اليهم عبر قائمة المخرج يسار الشاشة (إضافة مرفق - كتابة ملاحظات - تحديث نسبة الانجاز) </t>
  </si>
  <si>
    <t xml:space="preserve">امكانية اسناد المخرج </t>
  </si>
  <si>
    <t xml:space="preserve">1- يتم النقر على "إضافة مرفق جديد" و بامكان المستخدم ارفاق مرفق جديد 
 2- "حفظ" يتم اضافة مرفق جديد ويمكن لاصحاب الصلاحية الاطلاع على المرفق </t>
  </si>
  <si>
    <t>امكانية اضافة مرفق جديد</t>
  </si>
  <si>
    <t xml:space="preserve"> تسجيل الدخول الى نظام إدارة المهام  
 اسم المستخدم: B
كلمة السر:1</t>
  </si>
  <si>
    <t>العمل على مخرج مهمة حرة - (عضو الفريق)</t>
  </si>
  <si>
    <t xml:space="preserve">الانتقال الى المستخدم أنور السراج، حتى يتم العمل على المخرج المسند اليه 
 يمكن تنفيذ اجراء على مستوى المخرج (قبول المخرج، رفض المخرج، تحديث نسبة الانجاز - اضافة مرفقات  - انجاز المخرج )
</t>
  </si>
  <si>
    <t xml:space="preserve">الانتقال الى المخرج </t>
  </si>
  <si>
    <t xml:space="preserve"> تسجيل الدخول الى نظام إدارة المهام  
 اسم المستخدم: C 
كلمة السر:1</t>
  </si>
  <si>
    <t xml:space="preserve">الانتقال الى المستخدم  حسين محمد، حتى يتم العمل على المخرج المسند اليه 
 يمكن تنفيذ اجراء على مستوى المخرج (قبول المخرج، رفض المخرج، تحديث نسبة الانجاز - اضافة مرفقات  - انجاز المخرج )
</t>
  </si>
  <si>
    <t xml:space="preserve">الانتقال الى مستلم الفريق بعد تحديث نسبة انجاز المخرجات من قبل اعضاء الفريق يمكن لمستلم الفريق (اعتماد المخرج، رفض اعتماد المخرج) 
</t>
  </si>
  <si>
    <t xml:space="preserve">الانتقال الى مجلد جميع المهام </t>
  </si>
  <si>
    <t xml:space="preserve">امكانية تنفيذ اجراءعدم  اعتماد المهمة </t>
  </si>
  <si>
    <t>اسناد مهمة لمنصب خاص</t>
  </si>
  <si>
    <t xml:space="preserve"> اسناد الى موظف بمنصب خاص </t>
  </si>
  <si>
    <t xml:space="preserve">عند اختيار نوع الاسناد "اسناد الى موظف"  واختيار مستخدم يمتلك منصب خاص (عادل ابو عابد)، فإنه يتم إستلام المهمة المسندة من خلال (ممثل الإدارة) للمستخدم ذو المنصب الخاص </t>
  </si>
  <si>
    <t>اسناد الى موظف بمنصب خاص</t>
  </si>
  <si>
    <t xml:space="preserve">تسجيل الدخول الى نظام إدارة المهام  
"اسم مستخدم: W
كلمة المرور: 1 
(مستخدم ممثل ادارة) </t>
  </si>
  <si>
    <t xml:space="preserve"> العمل على مهمة مسنده الى موظف بمنصب خاص من قبل ممثل الادارة</t>
  </si>
  <si>
    <r>
      <rPr>
        <sz val="16"/>
        <color rgb="FF000000"/>
        <rFont val="Tahoma"/>
        <family val="2"/>
      </rPr>
      <t xml:space="preserve">الانتقال الى مجلد المهام المستلمة من القائمة الجانبية، و استلام المهمة من مجلد "المستلمه الجديدة" من قبل ممثل الادارة للمهمة والاطلاع على مهمة بحالة </t>
    </r>
    <r>
      <rPr>
        <b/>
        <sz val="16"/>
        <color rgb="FF000000"/>
        <rFont val="Tahoma"/>
        <family val="2"/>
      </rPr>
      <t xml:space="preserve">"جديدة" </t>
    </r>
  </si>
  <si>
    <t xml:space="preserve"> العمل على مهمة مسنده الى موظف بمنصب خاص  من قبل ممثل الادارة (قبول المهمة)</t>
  </si>
  <si>
    <t xml:space="preserve"> 1- الاطلاع على المهمة من قبل ممثل الادارة، يمكن تنفيذ اجراء القبول عبر قائمة "اجراءات المهمة" يسار الشاشة والنقر على "قبول المهمة" 
2- تظهر نافذة تأكيد قبول المهمة  النقر على (نعم او لا ) 
3-   النقر على "نعم" يتم ارسال المهمة بنجاح الى الموظف ذو المنصب الخاص</t>
  </si>
  <si>
    <t xml:space="preserve">يتم ارسال المهمة الى الموظف ذو المنصب بنجاح </t>
  </si>
  <si>
    <t xml:space="preserve">تسجيل الدخول الى نظام إدارة المهام  
"اسم مستخدم: W 
كلمة المرور: 1 
(مستخدم ذو منصب خاص) </t>
  </si>
  <si>
    <t xml:space="preserve"> العمل على مهمة مسنده الى موظف بمنصب خاص  من قبل ممثل الادارة (اعادة المهمة )</t>
  </si>
  <si>
    <t xml:space="preserve">ويمكن تنفيذ اجراء إعادة المهمة عبر قائمة "اجراءات المهمة" يسار الشاشة والنقر على "اعادة المهمة" 
2- تظهر نافذة اعادة المهمة النقر على (نعم او لا ) 
3-   النقر على "نعم " يتم اعادة المهمة 
وعند  اعادة المهمة من قبل ممثل الادارة، يتم اعادة المهمة الى المنشئ وتصبح حالة المهمة " معادة" </t>
  </si>
  <si>
    <t xml:space="preserve">امكانية اعادة المهمة </t>
  </si>
  <si>
    <t xml:space="preserve">تسجيل الدخول الى نظام إدارة المهام  
"اسم مستخدم: D 
كلمة المرور: 1 
(مستخدم ذو منصب خاص) </t>
  </si>
  <si>
    <t xml:space="preserve"> العمل على مهمة مسنده الى موظف بمنصب خاص ( استلام الموظف ذو منصب خاص المهمة )</t>
  </si>
  <si>
    <t>الانتقال الى مجلد المهام المستلمة من القائمة الجانبية، و استلام المهمة من مجلد "المهام المستلمة" من قبل ممثل الادارة للمهمة والاطلاع على مهمة بحالة " قيد التنفيذ"</t>
  </si>
  <si>
    <t xml:space="preserve">يتم استلام المهمة بنجاح </t>
  </si>
  <si>
    <t>ارسال للموافقة</t>
  </si>
  <si>
    <t>امكانية اسناد مهمة الى اخرين</t>
  </si>
  <si>
    <r>
      <rPr>
        <sz val="16"/>
        <color rgb="FF000000"/>
        <rFont val="Tahoma"/>
        <family val="2"/>
      </rPr>
      <t>يتم تعبئة بيانات المهمة:-
1- اسم المهمة (حقل اجباري)
2- درجة الأهمية (عادي - مهمة - مهمة جدا) - (قائمة اجبارية)
3- تصنيف المهمة (قائمة اجبارية)  ( تصنيفات رئيسية وتصنيفات فرعية) 
4- درجة السرية (عام - مقيد - سري - سري للغاية) - (قائمة اجبارية)
5-تاريخ البدء - تاريخ الاستحقاق (حقل اجباري)
6 - امكانية إسناد الى أخرين Checkbox</t>
    </r>
    <r>
      <rPr>
        <b/>
        <sz val="20"/>
        <color rgb="FF000000"/>
        <rFont val="Tahoma"/>
        <family val="2"/>
      </rPr>
      <t xml:space="preserve"> (</t>
    </r>
    <r>
      <rPr>
        <b/>
        <sz val="18"/>
        <color rgb="FF000000"/>
        <rFont val="Tahoma"/>
        <family val="2"/>
      </rPr>
      <t xml:space="preserve">نعم)
</t>
    </r>
    <r>
      <rPr>
        <sz val="16"/>
        <color rgb="FF000000"/>
        <rFont val="Tahoma"/>
        <family val="2"/>
      </rPr>
      <t>7- عدم سماح النظام بحفظ المهمة في حال عدم تعبئة المستخدم للحقول الاجبارية 
8- النقر على زر "حفظ" 
9-بعد النقر على حفظ تظهر رسالة من النظام بتأكيد تنفيذ الاجراء وحفظ المهمه ويتم الانتقال تلقائيا الى شاشة مسودة المهمة 
10- عند النقر على زر" الغاء" سيتم التراجع عن البيانات المدخلة ولايتم حفظها</t>
    </r>
  </si>
  <si>
    <r>
      <rPr>
        <sz val="16"/>
        <color rgb="FF000000"/>
        <rFont val="Tahoma"/>
        <family val="2"/>
      </rPr>
      <t>بعد انشاء المهمه تكون حالة المهمة "مسودة" وتظهر ثلاثة تبويبات لاكمال إجراءات المهمة ( بيانات المهمة - المخرجات - المرفقات) 
بعد النقر على نافذة المخرجات يظهر زر لاضافة مخرجات المهمة "</t>
    </r>
    <r>
      <rPr>
        <b/>
        <sz val="16"/>
        <color rgb="FF000000"/>
        <rFont val="Tahoma"/>
        <family val="2"/>
      </rPr>
      <t>+ إضافة</t>
    </r>
    <r>
      <rPr>
        <sz val="16"/>
        <color rgb="FF000000"/>
        <rFont val="Tahoma"/>
        <family val="2"/>
      </rPr>
      <t>" والمتبقي من نسبة المخرج للمهمة (100 %) :-:- 
1- المخرج (حقل اجباري) 
2- نسبة المخرج للمهمة (من 0% الى 100%) 
3- أنواع الملفات (قائمة اجبارية) (وهي انواع الملفات التي يطلب منها مستلم المهمة رفعها فقط)
4- تاريخ البدء - تاريخ الاستحقاق ( حقل اجباري) (ان تاريخ البدء وتاريخ الاستحقاق للمخرج يجب ان يكون اصغر من تاريخ البدء وتاريخ الاستحقاق للمهمة، ويستعرض النظام رسالة خطأ عند ادخال تاريخ اكبر من المهمة )
5- وصف المخرج (حقل اختياري)  Rich text editor 
6- يمكن اضافة اكثر من مخرج بحيث يكون مجموع نسب المخرجات 100% و لايمكن اضافة مخرج اخر 
7- عند النقر على حفظ تظهر رسالة تأكيدية من النظام بتأكيد تنفيذ اجراء المخرج
8- يمكن التعديل على بيانات المخرج عبر القائمة يسار المخرج(اجراءات المخرج)،وتحديث البيانات بنجاح قبل ارسال المهمة (من قبل منشئ المهمة)</t>
    </r>
  </si>
  <si>
    <t>ارسال (اسناد الى موظف)</t>
  </si>
  <si>
    <t xml:space="preserve">الانتقال الى المهمة التي تم انشائها وبتم تعبئة:
1- ""نوع الاسناد"" (شخصي - اسناد الى موظف - اسناد لفريق)  - (قائمة اجبارية) ( اختيار نوع الاسناد الى موظف)
2- "اسناد الى" (اختيار موظف "فواز المقدم" من القائمة)
2- ""ملاحظات"" (حقل اختياري) 
3- النقر على زر "" حفظ"" 
4- عند النقر على حفط تظهر رسالة تأكيدية من النظام ""تم تنفيذ الاجراء بنجاح 
5-  بعد اسناد المهمه تصبح حالة المهمة ""قيد التنفيذ"" ، ويتم انشاء رقم المهمة تلقائيا من قبل النظام" 
6-  عند اختيار اسناد الى موظف لايمتلك صلاحية درجة السرية للمهمة ، تظهر رسالة من النظام ان "المستخدم لايمتلك الصلاحية درجة السرية المطلوبة" وان النظام يسمح للمستخدم باسناد الى موظف يمتلك الصلاحية فقط </t>
  </si>
  <si>
    <t xml:space="preserve"> تسجيل الدخول الى نظام إدارة المهام  
 اسم المستخدم:A
كلمة السر:1 </t>
  </si>
  <si>
    <t xml:space="preserve">امكانية اسناد الى اخرين </t>
  </si>
  <si>
    <t xml:space="preserve"> الانتقال للمهمه المسندة عبر القائمة الرئيسية، المهام المنشأة، المهام المستلمة " قيد التنفيذ"</t>
  </si>
  <si>
    <t xml:space="preserve">الانتقال الى جميع المهام </t>
  </si>
  <si>
    <t xml:space="preserve">النقر على المهمه المسندة  واختيار "امكانية اسناد الى اخرين" من خلال قائمة اجراءات المهمة مع تأكيد عملية الاسناد للاخرين واختيار الاتي: 
1- نوع الاسناد ( اختيار اسناد لموظف )
2- اسناد الى (اختيار الموظف أنور السراج)
3- ملاحظات (حقل اختياري) 
4- النقر على "حفظ" </t>
  </si>
  <si>
    <t xml:space="preserve">تعبئة بيانات الاسناد </t>
  </si>
  <si>
    <t xml:space="preserve">الانتقال الى المستخدم  "انور السراج"، و الانتقال للمهمه المسندة عبر القائمة الرئيسية، المهام المنشأة، المهام المستلمة " قيد التنفيذ" ثم النقر على المهمه المسندة الى الموظف والاطلاع على بيانات المهمة 
</t>
  </si>
  <si>
    <t xml:space="preserve"> تسجيل الدخول الى نظام إدارة المهام  
 اسم المستخدم: B
كلمة السر:2</t>
  </si>
  <si>
    <t>ارجاع المهمة الى مسند المهمة من خلال قائمة "اجراءات المهمة" واختيار "ارسال لمسند المهمة" وتأكيد عملية الارجاع مع امكانية ذكر الملاحظات بشكل اختياري والنقر على زر " نعم او لا"</t>
  </si>
  <si>
    <t xml:space="preserve"> امكانية ارجاع المهمه</t>
  </si>
  <si>
    <t xml:space="preserve">1- يتم تنفيذ اجراء اعتماد المهمة عبر قائمة اجراءات المهمة يسار اعلى الشاشة من خلال المنشئ (اعتماد المهمة) 
2- تظهر رسالة بتأكيد عملية اعتماد المهمة مع الملاحظات واختيار (نعم - لا) </t>
  </si>
  <si>
    <t xml:space="preserve">1- يمكن تنفيذ اجراء عدم اعتماد المهمة عبر قائمة اجراءات المهمة يسار اعلى الشاشة من خلال المنشئ (عدم اعتماد المهمة) 
2- تظهر رسالة بتأكيد عملية عدم اعتماد المهمة مع الملاحظات واختيار (نعم - لا) وسيتم تحديث حالة المهمة الى قيد التنفيذ للمسند اليه المهمة </t>
  </si>
  <si>
    <t>مهمة مسندة الى اخرين</t>
  </si>
  <si>
    <t xml:space="preserve">تاريخ حالة الاختبار </t>
  </si>
  <si>
    <t>01\07\2024</t>
  </si>
  <si>
    <t xml:space="preserve">اسناد الى اخرين </t>
  </si>
  <si>
    <t xml:space="preserve">في حال تم تم اختيار خانة اسناد الى اخرين من منشئ المهمة، يسمح النظام للمسنده الية المهمة امكانية اسناد المهمة الى جهة اخرى  اضافية واحدة فقط </t>
  </si>
  <si>
    <t xml:space="preserve">يتمكن مسند المهمة الى اسناد لاخرين </t>
  </si>
  <si>
    <t xml:space="preserve"> الانتقال للمهمه المسندة عبر القائمة الرئيسية، جميع المهام، المهام المنشأة، المهام المستلمة </t>
  </si>
  <si>
    <t xml:space="preserve">النقر على المهمه المسندة  واختيار "اسناد الى اخرين" من خلال قائمة اجراءات المهمة مع تأكيد عملية الاسناد للاخرين واختيار الاتي: 
1- نوع الاسناد ( اختيار اسناد لموظف )
2- اسناد الى (اختيار الموظف أنور السراج)
3- ملاحظات (حقل اختياري) 
4- النقر على "حفظ" </t>
  </si>
  <si>
    <t xml:space="preserve"> تسجيل الدخول الى نظام إدارة المهام  
 اسم المستخدم:B 
كلمة السر:1 </t>
  </si>
  <si>
    <t xml:space="preserve">ويمكن للمسند له المهمة "كاسناد لاخرين" من العمل على المهمة كأي مهمة اخرى وعند الانتهاء منها يمكنه ارجاع المهمة الى مسند المهمة  من خلال قائمة "اجراءات المهمة" واختيار "ارسال لمسند المهمة" وتأكيد عملية الارجاع مع امكانية ذكر الملاحظات بشكل اختياري والنقر على زر " نعم او لا" </t>
  </si>
  <si>
    <t xml:space="preserve">استلام المهمة </t>
  </si>
  <si>
    <t xml:space="preserve">اسناد مهمة لممثل الادارة </t>
  </si>
  <si>
    <t>ارسال-  اسناد الى موظف (ممثل ادارة)</t>
  </si>
  <si>
    <t>قبول المهمة -  مسند الى موظف (ممثل ادارة)</t>
  </si>
  <si>
    <t>اعادة المهمة -  مسند الى موظف (ممثل ادارة)</t>
  </si>
  <si>
    <t xml:space="preserve">ممثل الادارة - اسناد الى موظف </t>
  </si>
  <si>
    <t xml:space="preserve">عند قبول المهمة من قبل ممثل الادارة يمكن تنفيذ اجراء اسناد المهمة الى موظف من  الادارة الرئيسية او من الادارات الفرعية للموظف ويتم العمل على المهمة للموظف المسند اليه </t>
  </si>
  <si>
    <t>امكانية اسناد الى موظف</t>
  </si>
  <si>
    <t>التفويض</t>
  </si>
  <si>
    <t>اختيار "إعدادات المستخدم" في يمين اعلى الصفحة عند اسم المستخدم</t>
  </si>
  <si>
    <t>الانتقال الى اعدادات المستخدم</t>
  </si>
  <si>
    <t xml:space="preserve"> اختيار التفويض عن طريق قائمة اعدادات النظام واختيار "التفويض" </t>
  </si>
  <si>
    <t xml:space="preserve">الانتقال الى التفويض </t>
  </si>
  <si>
    <t xml:space="preserve"> اختيار "تفويض" تظهر شاشه  متضمنه التفويض (المستلم - المرسلة) </t>
  </si>
  <si>
    <t xml:space="preserve">يتم استعراض البيانات بنجاح </t>
  </si>
  <si>
    <t>استعراض النظام لبيانات تبويبة "المستلمة" من حيث
( من المستخدم - من تاريخ-الى تاريخ - الحالة - ملاحظات - الاوامر ) ويمكن الاطلاع على التفويض المستلم السابق</t>
  </si>
  <si>
    <t xml:space="preserve">التفويض المرسل </t>
  </si>
  <si>
    <t xml:space="preserve"> النقر على تبويب "مرسلة" يظهر زر "الاضافة +"  
تظهر نافذة تستعرض الحقول التاليه:
1- تفويض الى (قائمة منسدلة) تظهر قائمة المستخدمين واختيار بدر المزيني
2- ملاحظات ( حقل اختياري)
3- النقر على خانه الاختيار (محدد بمدة) 
4-  تاريخ البدء - تاريخ الانتهاء( حقل اجباري عند اختيار محدد بمدة) 
</t>
  </si>
  <si>
    <t>النقر على زر التفويض، ويتم ارسال "التفويض" للمستخدم المعني وتصبح حالة التفويض "بانتظار الموافقة"</t>
  </si>
  <si>
    <t xml:space="preserve">يتم ارسال التفويض الى المرسل اليه </t>
  </si>
  <si>
    <t xml:space="preserve">تسجيل الدخول الى نظام إدارة المهام  
"اسم مستخدم: K
كلمة المرور: 1 
</t>
  </si>
  <si>
    <t>قبول التفويض</t>
  </si>
  <si>
    <t xml:space="preserve"> النقر على زر "قبول"،   يتم استعراض النظام  حالة التفويض أنها "ساري"</t>
  </si>
  <si>
    <t xml:space="preserve">امكانية القبول بنجاح </t>
  </si>
  <si>
    <t>رفض التفويض</t>
  </si>
  <si>
    <t>النقر على زر "الرفض" ويظهر حقل لكتابة سبب الرفض، يتم استعراض النظام  حالة التفويض أنها "مرفوضة"</t>
  </si>
  <si>
    <t xml:space="preserve">امكانية الرفض بنجاح </t>
  </si>
  <si>
    <t>التفويض المستلم</t>
  </si>
  <si>
    <t xml:space="preserve"> يتم استلام التفويض للمستخدم الذي تم تعيينه</t>
  </si>
  <si>
    <t xml:space="preserve">استلام التفويض بنجاح </t>
  </si>
  <si>
    <t>اختيار  ايقونة " التفويض" في يسار اعلى الصفحة عند اسم المستخدم</t>
  </si>
  <si>
    <t xml:space="preserve">الانتقال الى صفحة التفويض </t>
  </si>
  <si>
    <t xml:space="preserve">الاطلاع من مستلم التفويض  على مهام مرسل التفويض بنجاح </t>
  </si>
  <si>
    <t xml:space="preserve">امكانية الاطلاع بنجاح </t>
  </si>
  <si>
    <t>لوحة المعلومات</t>
  </si>
  <si>
    <t xml:space="preserve">الانتقال الى صفحة لوحة المعلومات من القائمة الجانبية </t>
  </si>
  <si>
    <t>الانتقال الى لوحة المعلومات</t>
  </si>
  <si>
    <t xml:space="preserve">النظام يستعرض بيانات ليتم تعبئتها: 
1- المستوى ( قائمة اجبارية)  ( مستوى الوزارة - مستوى الوكالة - مستوى الادارة - مستوى المستخدم) 
2- تصنيف المهمة (قائمة اختياريه) تظهر قائمة منسدلة بالتصنيفات الرئيسية وقائمة منسدلة فرعية بالتصنيفات الفرعية
3- درجة الاهمية (قائمة اختياريه (عادي - هام - هام جدا) 
4- نوع المهمة (قائمة اختيارية)
5- من التاريخ - الى التاريخ ( حقول اختيارية)  
6- زر "بحث"
7- زر "طباعة"
سيتم استعراض بيانات الرسم البيانيه حسب مدخلات البحث ( المهام حسب الاهمية - المهام حسب الحالة - المهام حسب النوع - المهام حسب التصنيف) </t>
  </si>
  <si>
    <t xml:space="preserve">استعراض البيانات بنجاح </t>
  </si>
  <si>
    <t>التقارير</t>
  </si>
  <si>
    <t xml:space="preserve"> الانتقال الى صفحة التقارير واختيار التقارير عبر القائمة المنسدلة ( تقارير الاحصائية - تقارير المتابعة - تقارير الجودة) من القائمة الجانبية </t>
  </si>
  <si>
    <t xml:space="preserve">الانتقال الى التقارير بنجاح </t>
  </si>
  <si>
    <t xml:space="preserve">التقارير الاحصائية </t>
  </si>
  <si>
    <r>
      <rPr>
        <sz val="16"/>
        <color rgb="FF000000"/>
        <rFont val="Tahoma"/>
        <family val="2"/>
      </rPr>
      <t xml:space="preserve"> اختيار  التقارير الاحصائية تظهر بيانات ليتم تعبئتها
1- قائمة المستوى ( قائمة اجبارية) مستوى الوزارة - مستوى الوكالة/الادارة العامة - مستوى الادارة - مستوى المستخدم
2- قائمة نوع التقرير (قائمة اجبارية) عرض جميع التقارير - تقرير بعدد المهام المفتوحة - تقرير بعدد المهام المغلقة - تقرير بعدد المهام حسب درجة السرية - تقرير بعدد المهام حسب درجة الاهمية  
3- من التاريخ - الى التاريخ ( حقول اختيارية)  
4- زر "</t>
    </r>
    <r>
      <rPr>
        <b/>
        <sz val="16"/>
        <color rgb="FF000000"/>
        <rFont val="Tahoma"/>
        <family val="2"/>
      </rPr>
      <t>عرض التقرير</t>
    </r>
    <r>
      <rPr>
        <sz val="16"/>
        <color rgb="FF000000"/>
        <rFont val="Tahoma"/>
        <family val="2"/>
      </rPr>
      <t>" او زر "</t>
    </r>
    <r>
      <rPr>
        <b/>
        <sz val="16"/>
        <color rgb="FF000000"/>
        <rFont val="Tahoma"/>
        <family val="2"/>
      </rPr>
      <t>تصدير اكسل</t>
    </r>
    <r>
      <rPr>
        <sz val="16"/>
        <color rgb="FF000000"/>
        <rFont val="Tahoma"/>
        <family val="2"/>
      </rPr>
      <t xml:space="preserve">"
 سيتم عرض مخرجات التقرير الاحصائية كأرقام </t>
    </r>
  </si>
  <si>
    <t>امكانية طباعة التقرير PDF او تصدير Excel</t>
  </si>
  <si>
    <t xml:space="preserve">تقارير المتابعة </t>
  </si>
  <si>
    <r>
      <rPr>
        <sz val="16"/>
        <color rgb="FF000000"/>
        <rFont val="Tahoma"/>
        <family val="2"/>
      </rPr>
      <t>اختيار " تقارير المتابعة" تظهر بيانات ليتم تعبئتها: 
1- قائمة المستوى ( قائمة اجبارية) مستوى الوزارة - مستوى الوكالة/ الادارة العامة - مستوى الادارة - مستوى المستخدم
2- قائمة نوع التقرير (قائمة اجبارية) عرض جميع التقارير -  تقرير مقياس الاداء لانجاز المهام - تقرير مقياس الاداء المهام المفتوحة - تقرير مقياس الاداء المهام المتأخرة - تقرير مقياس الاداء المهام حسب درجة السرية - تقرير مقياس الاداء حسب درجة الاهمية 
3- من التاريخ - الى التاريخ ( حقول اختيارية)  
4- زر "</t>
    </r>
    <r>
      <rPr>
        <b/>
        <sz val="16"/>
        <color rgb="FF000000"/>
        <rFont val="Tahoma"/>
        <family val="2"/>
      </rPr>
      <t>عرض التقرير</t>
    </r>
    <r>
      <rPr>
        <sz val="16"/>
        <color rgb="FF000000"/>
        <rFont val="Tahoma"/>
        <family val="2"/>
      </rPr>
      <t>"  او زر "</t>
    </r>
    <r>
      <rPr>
        <b/>
        <sz val="16"/>
        <color rgb="FF000000"/>
        <rFont val="Tahoma"/>
        <family val="2"/>
      </rPr>
      <t>تصدير اكسل</t>
    </r>
    <r>
      <rPr>
        <sz val="16"/>
        <color rgb="FF000000"/>
        <rFont val="Tahoma"/>
        <family val="2"/>
      </rPr>
      <t xml:space="preserve">"
5- زر "طباعة"
 سيتم عرض تقرير المتابعة مخرجات المهام حسب نوع التقرير  و عرض التقرير درجات الالوان حسب حالة المهمة </t>
    </r>
  </si>
  <si>
    <t xml:space="preserve">تقارير الجودة </t>
  </si>
  <si>
    <r>
      <rPr>
        <sz val="16"/>
        <color rgb="FF000000"/>
        <rFont val="Tahoma"/>
        <family val="2"/>
      </rPr>
      <t xml:space="preserve">  تقارير الجودة  تظهر بيانات ليتم تعبئتها
1- قائمة المستوى ( قائمة اجبارية) ( مستوى الوزارة - مستوى الوكالة/ الادارة العامة - مستوى الادارة - مستوى المستخدم) 
2- قائمة نوع التقرير (قائمة اجبارية)  عرض جميع التقارير -  تقرير قائمة المهام المفتوحة - تقرير قائمة المهام المغلقة- تقرير قائمة المهام حسب درجة السرية - تقرير قائمة حسب درجة الاهمية
3- من التاريخ - الى التاريخ ( حقول اختيارية)  
4- زر "</t>
    </r>
    <r>
      <rPr>
        <b/>
        <sz val="16"/>
        <color rgb="FF000000"/>
        <rFont val="Tahoma"/>
        <family val="2"/>
      </rPr>
      <t>عرض التقرير</t>
    </r>
    <r>
      <rPr>
        <sz val="16"/>
        <color rgb="FF000000"/>
        <rFont val="Tahoma"/>
        <family val="2"/>
      </rPr>
      <t xml:space="preserve">"  او زر </t>
    </r>
    <r>
      <rPr>
        <b/>
        <sz val="16"/>
        <color rgb="FF000000"/>
        <rFont val="Tahoma"/>
        <family val="2"/>
      </rPr>
      <t>"تصدير اكسل</t>
    </r>
    <r>
      <rPr>
        <sz val="16"/>
        <color rgb="FF000000"/>
        <rFont val="Tahoma"/>
        <family val="2"/>
      </rPr>
      <t xml:space="preserve">"
5- زر "طباعة"
 سيتم عرض تقرير جودة مخرجات المهام حسب نوع التقرير و عرض التقرير درجات الالوان حسب حالة المهمة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</si>
</sst>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0"/>
      <color rgb="FF000000"/>
      <name val="Arial"/>
      <scheme val="minor"/>
    </font>
    <font>
      <sz val="18"/>
      <color theme="1"/>
      <name val="Arial"/>
      <family val="2"/>
      <scheme val="minor"/>
    </font>
    <font>
      <sz val="24"/>
      <color theme="1"/>
      <name val="Arial"/>
      <family val="2"/>
      <scheme val="minor"/>
    </font>
    <font>
      <sz val="10"/>
      <color theme="4" tint="-0.499984740745262"/>
      <name val="Arial"/>
      <family val="2"/>
      <scheme val="minor"/>
    </font>
    <font>
      <sz val="10"/>
      <name val="Arial"/>
      <family val="2"/>
    </font>
    <font>
      <b/>
      <sz val="18"/>
      <name val="SST Arabic Medium"/>
      <family val="2"/>
    </font>
    <font>
      <sz val="10"/>
      <color theme="1"/>
      <name val="Arial"/>
      <family val="2"/>
      <scheme val="minor"/>
    </font>
    <font>
      <u/>
      <sz val="11"/>
      <color theme="10"/>
      <name val="Arial"/>
      <family val="2"/>
      <scheme val="minor"/>
    </font>
    <font>
      <sz val="10"/>
      <color rgb="FFFF0000"/>
      <name val="Arial"/>
      <family val="2"/>
      <scheme val="minor"/>
    </font>
    <font>
      <sz val="10"/>
      <color theme="0"/>
      <name val="Arial"/>
      <family val="2"/>
      <scheme val="minor"/>
    </font>
    <font>
      <sz val="28"/>
      <color rgb="FF000000"/>
      <name val="Arial"/>
      <family val="2"/>
      <scheme val="minor"/>
    </font>
    <font>
      <sz val="10"/>
      <color rgb="FF000000"/>
      <name val="Arial"/>
      <family val="2"/>
      <scheme val="minor"/>
    </font>
    <font>
      <sz val="16"/>
      <color theme="3"/>
      <name val="Tahoma"/>
      <family val="2"/>
    </font>
    <font>
      <sz val="28"/>
      <color theme="0"/>
      <name val="Tahoma"/>
      <family val="2"/>
    </font>
    <font>
      <b/>
      <sz val="28"/>
      <color theme="0"/>
      <name val="Tahoma"/>
      <family val="2"/>
    </font>
    <font>
      <b/>
      <sz val="16"/>
      <color theme="0"/>
      <name val="Tahoma"/>
      <family val="2"/>
    </font>
    <font>
      <sz val="36"/>
      <color rgb="FFFFFFFF"/>
      <name val="Arial"/>
      <family val="2"/>
      <scheme val="minor"/>
    </font>
    <font>
      <sz val="36"/>
      <color rgb="FFFFFFFF"/>
      <name val="Tahoma"/>
      <family val="2"/>
    </font>
    <font>
      <b/>
      <sz val="18"/>
      <name val="Tahoma"/>
      <family val="2"/>
    </font>
    <font>
      <sz val="10"/>
      <color rgb="FFF2F2F2"/>
      <name val="Arial"/>
      <family val="2"/>
      <scheme val="minor"/>
    </font>
    <font>
      <b/>
      <sz val="18"/>
      <color theme="0"/>
      <name val="Tahoma"/>
      <family val="2"/>
    </font>
    <font>
      <sz val="16"/>
      <color rgb="FF000000"/>
      <name val="Tahoma"/>
      <family val="2"/>
    </font>
    <font>
      <b/>
      <sz val="16"/>
      <color rgb="FF000000"/>
      <name val="Tahoma"/>
      <family val="2"/>
    </font>
    <font>
      <sz val="16"/>
      <color rgb="FF000000"/>
      <name val="Tahoma"/>
      <family val="2"/>
    </font>
    <font>
      <sz val="16"/>
      <color rgb="FF000000"/>
      <name val="Tahoma"/>
      <family val="2"/>
    </font>
    <font>
      <sz val="16"/>
      <color rgb="FF000000"/>
      <name val="Arial"/>
      <family val="2"/>
      <scheme val="minor"/>
    </font>
    <font>
      <sz val="16"/>
      <color theme="0"/>
      <name val="Tahoma"/>
      <family val="2"/>
    </font>
    <font>
      <sz val="16"/>
      <color theme="1"/>
      <name val="Arial"/>
      <family val="2"/>
      <scheme val="minor"/>
    </font>
    <font>
      <sz val="16"/>
      <color theme="3"/>
      <name val="Tahoma"/>
      <family val="2"/>
    </font>
    <font>
      <b/>
      <sz val="18"/>
      <color rgb="FF000000"/>
      <name val="Tahoma"/>
      <family val="2"/>
    </font>
    <font>
      <b/>
      <sz val="16"/>
      <color rgb="FFFFFFFF"/>
      <name val="Tahoma"/>
      <family val="2"/>
    </font>
    <font>
      <sz val="10"/>
      <color rgb="FF000000"/>
      <name val="Arial"/>
      <family val="2"/>
    </font>
    <font>
      <b/>
      <sz val="20"/>
      <color rgb="FF000000"/>
      <name val="Tahoma"/>
      <family val="2"/>
    </font>
    <font>
      <b/>
      <sz val="20"/>
      <color rgb="FF000000"/>
      <name val="Arial"/>
      <family val="2"/>
    </font>
    <font>
      <sz val="20"/>
      <color rgb="FF000000"/>
      <name val="Arial"/>
      <family val="2"/>
    </font>
    <font>
      <sz val="20"/>
      <color rgb="FF636363"/>
      <name val="Tahoma"/>
      <family val="2"/>
    </font>
    <font>
      <b/>
      <sz val="20"/>
      <color rgb="FF636363"/>
      <name val="Tahoma"/>
      <family val="2"/>
    </font>
    <font>
      <b/>
      <sz val="20"/>
      <color rgb="FFFFFFFF"/>
      <name val="Arial"/>
      <family val="2"/>
    </font>
    <font>
      <u/>
      <sz val="28"/>
      <color theme="0"/>
      <name val="Arial"/>
      <family val="2"/>
      <scheme val="minor"/>
    </font>
    <font>
      <b/>
      <sz val="28"/>
      <color theme="0"/>
      <name val="Arial"/>
      <family val="2"/>
    </font>
    <font>
      <sz val="10"/>
      <color rgb="FFFF0000"/>
      <name val="Arial"/>
      <family val="2"/>
      <scheme val="minor"/>
    </font>
    <font>
      <sz val="10"/>
      <color theme="0"/>
      <name val="Arial"/>
      <family val="2"/>
      <scheme val="minor"/>
    </font>
    <font>
      <sz val="28"/>
      <color theme="0"/>
      <name val="Arial"/>
      <family val="2"/>
      <scheme val="minor"/>
    </font>
    <font>
      <sz val="28"/>
      <color rgb="FFFF0000"/>
      <name val="Arial"/>
      <family val="2"/>
      <scheme val="minor"/>
    </font>
    <font>
      <sz val="10"/>
      <color theme="1"/>
      <name val="Arial"/>
      <family val="2"/>
      <scheme val="minor"/>
    </font>
    <font>
      <sz val="28"/>
      <color theme="1"/>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rgb="FF4F9399"/>
        <bgColor rgb="FF305496"/>
      </patternFill>
    </fill>
    <fill>
      <patternFill patternType="solid">
        <fgColor rgb="FF4F9399"/>
        <bgColor indexed="64"/>
      </patternFill>
    </fill>
    <fill>
      <patternFill patternType="solid">
        <fgColor rgb="FFF2F2F2"/>
        <bgColor indexed="64"/>
      </patternFill>
    </fill>
    <fill>
      <patternFill patternType="solid">
        <fgColor rgb="FF4F9399"/>
        <bgColor rgb="FF000000"/>
      </patternFill>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
      <patternFill patternType="solid">
        <fgColor rgb="FFDBDBDB"/>
        <bgColor rgb="FF000000"/>
      </patternFill>
    </fill>
    <fill>
      <patternFill patternType="solid">
        <fgColor rgb="FFFFFFCC"/>
        <bgColor rgb="FF000000"/>
      </patternFill>
    </fill>
    <fill>
      <patternFill patternType="solid">
        <fgColor rgb="FFFFFFFF"/>
        <bgColor rgb="FF000000"/>
      </patternFill>
    </fill>
    <fill>
      <patternFill patternType="solid">
        <fgColor rgb="FFD9E1F2"/>
        <bgColor rgb="FF000000"/>
      </patternFill>
    </fill>
    <fill>
      <patternFill patternType="solid">
        <fgColor rgb="FFE2EFDA"/>
        <bgColor rgb="FF000000"/>
      </patternFill>
    </fill>
    <fill>
      <patternFill patternType="solid">
        <fgColor rgb="FFFFF2CC"/>
        <bgColor rgb="FF000000"/>
      </patternFill>
    </fill>
  </fills>
  <borders count="26">
    <border>
      <left/>
      <right/>
      <top/>
      <bottom/>
      <diagonal/>
    </border>
    <border>
      <left/>
      <right/>
      <top/>
      <bottom style="thin">
        <color rgb="FF30549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style="thin">
        <color indexed="64"/>
      </top>
      <bottom style="thin">
        <color theme="1"/>
      </bottom>
      <diagonal/>
    </border>
    <border>
      <left/>
      <right/>
      <top style="thin">
        <color theme="1"/>
      </top>
      <bottom style="thin">
        <color indexed="64"/>
      </bottom>
      <diagonal/>
    </border>
    <border>
      <left/>
      <right/>
      <top style="thin">
        <color theme="1"/>
      </top>
      <bottom style="thin">
        <color theme="1"/>
      </bottom>
      <diagonal/>
    </border>
    <border>
      <left style="thin">
        <color indexed="64"/>
      </left>
      <right style="thin">
        <color indexed="64"/>
      </right>
      <top style="thin">
        <color indexed="64"/>
      </top>
      <bottom style="thin">
        <color theme="1"/>
      </bottom>
      <diagonal/>
    </border>
    <border>
      <left/>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s>
  <cellStyleXfs count="5">
    <xf numFmtId="0" fontId="0" fillId="0" borderId="0"/>
    <xf numFmtId="0" fontId="4" fillId="0" borderId="0" applyBorder="0"/>
    <xf numFmtId="0" fontId="6" fillId="0" borderId="0"/>
    <xf numFmtId="0" fontId="7" fillId="0" borderId="0" applyNumberFormat="0" applyFill="0" applyBorder="0" applyAlignment="0" applyProtection="0"/>
    <xf numFmtId="0" fontId="11" fillId="0" borderId="0"/>
  </cellStyleXfs>
  <cellXfs count="157">
    <xf numFmtId="0" fontId="0" fillId="0" borderId="0" xfId="0"/>
    <xf numFmtId="0" fontId="2" fillId="0" borderId="0" xfId="0" applyFont="1" applyAlignment="1">
      <alignment horizontal="center"/>
    </xf>
    <xf numFmtId="0" fontId="3" fillId="0" borderId="0" xfId="0" applyFont="1"/>
    <xf numFmtId="0" fontId="3" fillId="2" borderId="0" xfId="0" applyFont="1" applyFill="1"/>
    <xf numFmtId="0" fontId="0" fillId="2" borderId="0" xfId="0" applyFill="1"/>
    <xf numFmtId="0" fontId="5" fillId="2" borderId="0" xfId="1" applyFont="1" applyFill="1" applyBorder="1" applyAlignment="1" applyProtection="1">
      <alignment vertical="center" wrapText="1"/>
      <protection hidden="1"/>
    </xf>
    <xf numFmtId="0" fontId="8" fillId="0" borderId="0" xfId="0" applyFont="1"/>
    <xf numFmtId="0" fontId="9" fillId="0" borderId="0" xfId="0" applyFont="1"/>
    <xf numFmtId="0" fontId="10" fillId="0" borderId="0" xfId="0" applyFont="1"/>
    <xf numFmtId="0" fontId="12" fillId="0" borderId="2" xfId="2" applyFont="1" applyBorder="1" applyAlignment="1">
      <alignment horizontal="center" vertical="center" wrapText="1"/>
    </xf>
    <xf numFmtId="0" fontId="12" fillId="0" borderId="2" xfId="2" applyFont="1" applyBorder="1" applyAlignment="1">
      <alignment vertical="center" wrapText="1"/>
    </xf>
    <xf numFmtId="0" fontId="12" fillId="0" borderId="2" xfId="3" applyFont="1" applyFill="1" applyBorder="1" applyAlignment="1" applyProtection="1">
      <alignment horizontal="right" vertical="center" wrapText="1"/>
    </xf>
    <xf numFmtId="0" fontId="12" fillId="0" borderId="2" xfId="0" applyFont="1" applyBorder="1" applyAlignment="1">
      <alignment horizontal="center" vertical="center"/>
    </xf>
    <xf numFmtId="0" fontId="12" fillId="0" borderId="6" xfId="2" applyFont="1" applyBorder="1" applyAlignment="1">
      <alignment vertical="center" wrapText="1"/>
    </xf>
    <xf numFmtId="0" fontId="12" fillId="0" borderId="5" xfId="0" applyFont="1" applyBorder="1" applyAlignment="1">
      <alignment horizontal="center" vertical="center"/>
    </xf>
    <xf numFmtId="0" fontId="12" fillId="0" borderId="7" xfId="2" applyFont="1" applyBorder="1" applyAlignment="1" applyProtection="1">
      <alignment vertical="center" wrapText="1"/>
      <protection locked="0"/>
    </xf>
    <xf numFmtId="0" fontId="12" fillId="0" borderId="3" xfId="0" applyFont="1" applyBorder="1" applyAlignment="1">
      <alignment horizontal="center" vertical="center"/>
    </xf>
    <xf numFmtId="0" fontId="12" fillId="0" borderId="7" xfId="2" applyFont="1" applyBorder="1" applyAlignment="1" applyProtection="1">
      <alignment horizontal="right" vertical="center" wrapText="1"/>
      <protection locked="0"/>
    </xf>
    <xf numFmtId="0" fontId="13" fillId="4" borderId="2" xfId="0" applyFont="1" applyFill="1" applyBorder="1" applyAlignment="1">
      <alignment horizontal="center" vertical="center"/>
    </xf>
    <xf numFmtId="0" fontId="14" fillId="4" borderId="2" xfId="0" applyFont="1" applyFill="1" applyBorder="1" applyAlignment="1">
      <alignment horizontal="center" vertical="center"/>
    </xf>
    <xf numFmtId="0" fontId="15" fillId="4" borderId="2" xfId="2" applyFont="1" applyFill="1" applyBorder="1" applyAlignment="1">
      <alignment horizontal="center" vertical="center" wrapText="1"/>
    </xf>
    <xf numFmtId="0" fontId="12" fillId="0" borderId="7" xfId="2" applyFont="1" applyBorder="1" applyAlignment="1" applyProtection="1">
      <alignment horizontal="center" vertical="center" wrapText="1"/>
      <protection locked="0"/>
    </xf>
    <xf numFmtId="0" fontId="12" fillId="0" borderId="2" xfId="2" applyFont="1" applyBorder="1" applyAlignment="1">
      <alignment horizontal="right" vertical="center" wrapText="1"/>
    </xf>
    <xf numFmtId="0" fontId="5" fillId="2" borderId="0" xfId="1" applyFont="1" applyFill="1" applyBorder="1" applyAlignment="1" applyProtection="1">
      <alignment horizontal="right" vertical="center" wrapText="1"/>
      <protection hidden="1"/>
    </xf>
    <xf numFmtId="0" fontId="12" fillId="0" borderId="6" xfId="2" applyFont="1" applyBorder="1" applyAlignment="1">
      <alignment horizontal="center" vertical="center" wrapText="1"/>
    </xf>
    <xf numFmtId="0" fontId="0" fillId="2" borderId="0" xfId="0" applyFill="1" applyAlignment="1">
      <alignment horizontal="center"/>
    </xf>
    <xf numFmtId="0" fontId="1" fillId="0" borderId="0" xfId="0" applyFont="1" applyAlignment="1">
      <alignment horizontal="center"/>
    </xf>
    <xf numFmtId="0" fontId="0" fillId="0" borderId="0" xfId="0" applyAlignment="1">
      <alignment horizontal="center"/>
    </xf>
    <xf numFmtId="0" fontId="12" fillId="0" borderId="2" xfId="2" applyFont="1" applyBorder="1" applyAlignment="1">
      <alignment horizontal="center" vertical="center" wrapText="1" readingOrder="2"/>
    </xf>
    <xf numFmtId="0" fontId="18" fillId="2" borderId="2" xfId="1" applyFont="1" applyFill="1" applyBorder="1" applyAlignment="1" applyProtection="1">
      <alignment vertical="center" wrapText="1"/>
      <protection hidden="1"/>
    </xf>
    <xf numFmtId="0" fontId="18" fillId="2" borderId="2" xfId="1" applyFont="1" applyFill="1" applyBorder="1" applyAlignment="1" applyProtection="1">
      <alignment horizontal="right" vertical="center" wrapText="1"/>
      <protection hidden="1"/>
    </xf>
    <xf numFmtId="0" fontId="19" fillId="2" borderId="0" xfId="0" applyFont="1" applyFill="1"/>
    <xf numFmtId="0" fontId="20" fillId="4" borderId="2" xfId="1" applyFont="1" applyFill="1" applyBorder="1" applyAlignment="1">
      <alignment vertical="center" wrapText="1"/>
    </xf>
    <xf numFmtId="0" fontId="21" fillId="0" borderId="7" xfId="2" applyFont="1" applyBorder="1" applyAlignment="1" applyProtection="1">
      <alignment horizontal="right" vertical="center" wrapText="1"/>
      <protection locked="0"/>
    </xf>
    <xf numFmtId="0" fontId="21" fillId="0" borderId="7" xfId="2" applyFont="1" applyBorder="1" applyAlignment="1" applyProtection="1">
      <alignment vertical="center" wrapText="1"/>
      <protection locked="0"/>
    </xf>
    <xf numFmtId="0" fontId="12" fillId="0" borderId="4" xfId="2" applyFont="1" applyBorder="1" applyAlignment="1">
      <alignment horizontal="center" vertical="center" wrapText="1"/>
    </xf>
    <xf numFmtId="0" fontId="12" fillId="0" borderId="0" xfId="2" applyFont="1" applyAlignment="1">
      <alignment horizontal="center" vertical="center" wrapText="1"/>
    </xf>
    <xf numFmtId="0" fontId="12" fillId="0" borderId="8" xfId="2" applyFont="1" applyBorder="1" applyAlignment="1">
      <alignment horizontal="center" vertical="center" wrapText="1"/>
    </xf>
    <xf numFmtId="0" fontId="12" fillId="0" borderId="9" xfId="2" applyFont="1" applyBorder="1" applyAlignment="1">
      <alignment horizontal="center" vertical="center" wrapText="1"/>
    </xf>
    <xf numFmtId="0" fontId="21" fillId="0" borderId="2" xfId="3" applyFont="1" applyFill="1" applyBorder="1" applyAlignment="1" applyProtection="1">
      <alignment horizontal="right" vertical="center" wrapText="1"/>
    </xf>
    <xf numFmtId="0" fontId="12" fillId="0" borderId="2" xfId="3" applyFont="1" applyFill="1" applyBorder="1" applyAlignment="1" applyProtection="1">
      <alignment horizontal="center" vertical="center" wrapText="1"/>
    </xf>
    <xf numFmtId="0" fontId="0" fillId="2" borderId="0" xfId="0" applyFill="1" applyAlignment="1">
      <alignment horizontal="right" vertical="center"/>
    </xf>
    <xf numFmtId="0" fontId="0" fillId="0" borderId="0" xfId="0" applyAlignment="1">
      <alignment horizontal="right" vertical="center"/>
    </xf>
    <xf numFmtId="0" fontId="23" fillId="0" borderId="10" xfId="0" applyFont="1" applyBorder="1" applyAlignment="1">
      <alignment horizontal="right" vertical="center" wrapText="1" readingOrder="2"/>
    </xf>
    <xf numFmtId="0" fontId="23" fillId="0" borderId="11" xfId="0" applyFont="1" applyBorder="1" applyAlignment="1">
      <alignment horizontal="right" vertical="center" wrapText="1" readingOrder="2"/>
    </xf>
    <xf numFmtId="0" fontId="23" fillId="0" borderId="2" xfId="0" applyFont="1" applyBorder="1" applyAlignment="1">
      <alignment horizontal="right" vertical="center" wrapText="1" readingOrder="2"/>
    </xf>
    <xf numFmtId="0" fontId="26" fillId="4" borderId="2" xfId="0" applyFont="1" applyFill="1" applyBorder="1" applyAlignment="1">
      <alignment horizontal="center" vertical="center"/>
    </xf>
    <xf numFmtId="0" fontId="25" fillId="2" borderId="0" xfId="0" applyFont="1" applyFill="1" applyAlignment="1">
      <alignment vertical="center"/>
    </xf>
    <xf numFmtId="0" fontId="27" fillId="0" borderId="0" xfId="0" applyFont="1" applyAlignment="1">
      <alignment vertical="center"/>
    </xf>
    <xf numFmtId="0" fontId="25" fillId="0" borderId="0" xfId="0" applyFont="1" applyAlignment="1">
      <alignment vertical="center"/>
    </xf>
    <xf numFmtId="0" fontId="23" fillId="0" borderId="10" xfId="0" applyFont="1" applyBorder="1" applyAlignment="1">
      <alignment horizontal="center" vertical="center" wrapText="1" readingOrder="2"/>
    </xf>
    <xf numFmtId="0" fontId="23" fillId="0" borderId="11" xfId="0" applyFont="1" applyBorder="1" applyAlignment="1">
      <alignment horizontal="center" vertical="center" wrapText="1" readingOrder="2"/>
    </xf>
    <xf numFmtId="0" fontId="27" fillId="0" borderId="0" xfId="0" applyFont="1" applyAlignment="1">
      <alignment horizontal="center" vertical="center"/>
    </xf>
    <xf numFmtId="0" fontId="12" fillId="0" borderId="5" xfId="2" applyFont="1" applyBorder="1" applyAlignment="1">
      <alignment horizontal="center" vertical="center" wrapText="1"/>
    </xf>
    <xf numFmtId="0" fontId="21" fillId="0" borderId="9" xfId="2" applyFont="1" applyBorder="1" applyAlignment="1">
      <alignment vertical="center" wrapText="1"/>
    </xf>
    <xf numFmtId="0" fontId="28" fillId="0" borderId="2" xfId="2" applyFont="1" applyBorder="1" applyAlignment="1">
      <alignment horizontal="center" vertical="center" wrapText="1"/>
    </xf>
    <xf numFmtId="0" fontId="12" fillId="0" borderId="7" xfId="2" applyFont="1" applyBorder="1" applyAlignment="1">
      <alignment horizontal="right" vertical="center" wrapText="1"/>
    </xf>
    <xf numFmtId="0" fontId="18" fillId="2" borderId="9" xfId="1" applyFont="1" applyFill="1" applyBorder="1" applyAlignment="1" applyProtection="1">
      <alignment vertical="center" wrapText="1"/>
      <protection hidden="1"/>
    </xf>
    <xf numFmtId="0" fontId="20" fillId="4" borderId="5" xfId="1" applyFont="1" applyFill="1" applyBorder="1" applyAlignment="1">
      <alignment vertical="center" wrapText="1"/>
    </xf>
    <xf numFmtId="0" fontId="29" fillId="5" borderId="7" xfId="0" applyFont="1" applyFill="1" applyBorder="1"/>
    <xf numFmtId="0" fontId="31" fillId="0" borderId="0" xfId="0" applyFont="1" applyAlignment="1">
      <alignment readingOrder="1"/>
    </xf>
    <xf numFmtId="0" fontId="23" fillId="0" borderId="7" xfId="0" applyFont="1" applyBorder="1" applyAlignment="1">
      <alignment horizontal="right" vertical="center" wrapText="1" readingOrder="2"/>
    </xf>
    <xf numFmtId="0" fontId="23" fillId="0" borderId="2" xfId="0" applyFont="1" applyBorder="1" applyAlignment="1">
      <alignment horizontal="center" vertical="center" wrapText="1" readingOrder="2"/>
    </xf>
    <xf numFmtId="0" fontId="13" fillId="4" borderId="12" xfId="0" applyFont="1" applyFill="1" applyBorder="1" applyAlignment="1">
      <alignment horizontal="center" vertical="center"/>
    </xf>
    <xf numFmtId="0" fontId="23" fillId="0" borderId="2" xfId="0" applyFont="1" applyBorder="1" applyAlignment="1">
      <alignment vertical="center" wrapText="1" readingOrder="2"/>
    </xf>
    <xf numFmtId="0" fontId="21" fillId="0" borderId="9" xfId="2" applyFont="1" applyBorder="1" applyAlignment="1">
      <alignment horizontal="right" vertical="center" wrapText="1"/>
    </xf>
    <xf numFmtId="0" fontId="12" fillId="0" borderId="6" xfId="2" applyFont="1" applyBorder="1" applyAlignment="1">
      <alignment horizontal="right" vertical="center" wrapText="1"/>
    </xf>
    <xf numFmtId="0" fontId="12" fillId="0" borderId="7" xfId="2" applyFont="1" applyBorder="1" applyAlignment="1">
      <alignment vertical="center" wrapText="1"/>
    </xf>
    <xf numFmtId="0" fontId="12" fillId="7" borderId="2" xfId="2" applyFont="1" applyFill="1" applyBorder="1" applyAlignment="1">
      <alignment horizontal="center" vertical="center" wrapText="1"/>
    </xf>
    <xf numFmtId="0" fontId="12" fillId="7" borderId="2" xfId="0" applyFont="1" applyFill="1" applyBorder="1" applyAlignment="1">
      <alignment horizontal="center" vertical="center"/>
    </xf>
    <xf numFmtId="0" fontId="12" fillId="0" borderId="17" xfId="2" applyFont="1" applyBorder="1" applyAlignment="1">
      <alignment horizontal="center" vertical="center" wrapText="1"/>
    </xf>
    <xf numFmtId="0" fontId="12" fillId="7" borderId="2" xfId="2" applyFont="1" applyFill="1" applyBorder="1" applyAlignment="1">
      <alignment vertical="center" wrapText="1"/>
    </xf>
    <xf numFmtId="0" fontId="12" fillId="0" borderId="14" xfId="2" applyFont="1" applyBorder="1" applyAlignment="1">
      <alignment horizontal="center" vertical="center" wrapText="1"/>
    </xf>
    <xf numFmtId="0" fontId="12" fillId="0" borderId="16" xfId="2" applyFont="1" applyBorder="1" applyAlignment="1">
      <alignment horizontal="center" vertical="center" wrapText="1"/>
    </xf>
    <xf numFmtId="0" fontId="12" fillId="0" borderId="17" xfId="2" applyFont="1" applyBorder="1" applyAlignment="1">
      <alignment horizontal="right" vertical="center" wrapText="1"/>
    </xf>
    <xf numFmtId="0" fontId="12" fillId="0" borderId="17" xfId="2" applyFont="1" applyBorder="1" applyAlignment="1">
      <alignment vertical="center" wrapText="1"/>
    </xf>
    <xf numFmtId="0" fontId="12" fillId="0" borderId="17" xfId="0" applyFont="1" applyBorder="1" applyAlignment="1">
      <alignment horizontal="center" vertical="center"/>
    </xf>
    <xf numFmtId="0" fontId="12" fillId="7" borderId="4" xfId="2" applyFont="1" applyFill="1" applyBorder="1" applyAlignment="1">
      <alignment horizontal="center" vertical="center" wrapText="1"/>
    </xf>
    <xf numFmtId="0" fontId="12" fillId="7" borderId="15" xfId="2" applyFont="1" applyFill="1" applyBorder="1" applyAlignment="1">
      <alignment horizontal="center" vertical="center" wrapText="1"/>
    </xf>
    <xf numFmtId="0" fontId="21" fillId="0" borderId="2" xfId="0" applyFont="1" applyBorder="1" applyAlignment="1">
      <alignment vertical="center" wrapText="1" readingOrder="2"/>
    </xf>
    <xf numFmtId="0" fontId="12" fillId="0" borderId="7" xfId="2" applyFont="1" applyBorder="1" applyAlignment="1">
      <alignment horizontal="center" vertical="center" wrapText="1"/>
    </xf>
    <xf numFmtId="0" fontId="24" fillId="0" borderId="7" xfId="0" applyFont="1" applyBorder="1" applyAlignment="1">
      <alignment horizontal="right" vertical="center" wrapText="1"/>
    </xf>
    <xf numFmtId="0" fontId="12" fillId="0" borderId="18" xfId="2" applyFont="1" applyBorder="1" applyAlignment="1">
      <alignment horizontal="center" vertical="center" wrapText="1"/>
    </xf>
    <xf numFmtId="0" fontId="23" fillId="0" borderId="9" xfId="0" applyFont="1" applyBorder="1" applyAlignment="1">
      <alignment horizontal="center" vertical="center" wrapText="1" readingOrder="2"/>
    </xf>
    <xf numFmtId="0" fontId="12" fillId="0" borderId="9" xfId="2" applyFont="1" applyBorder="1" applyAlignment="1">
      <alignment horizontal="right" vertical="center" wrapText="1"/>
    </xf>
    <xf numFmtId="0" fontId="12" fillId="0" borderId="13" xfId="2" applyFont="1" applyBorder="1" applyAlignment="1">
      <alignment horizontal="center" vertical="center" wrapText="1"/>
    </xf>
    <xf numFmtId="0" fontId="23" fillId="0" borderId="7" xfId="0" applyFont="1" applyBorder="1" applyAlignment="1">
      <alignment horizontal="center" vertical="center" wrapText="1" readingOrder="2"/>
    </xf>
    <xf numFmtId="0" fontId="23" fillId="0" borderId="7" xfId="0" applyFont="1" applyBorder="1" applyAlignment="1">
      <alignment horizontal="center" vertical="center" wrapText="1" readingOrder="1"/>
    </xf>
    <xf numFmtId="0" fontId="31" fillId="0" borderId="7" xfId="0" applyFont="1" applyBorder="1" applyAlignment="1">
      <alignment readingOrder="1"/>
    </xf>
    <xf numFmtId="0" fontId="30" fillId="6" borderId="5" xfId="0" applyFont="1" applyFill="1" applyBorder="1" applyAlignment="1">
      <alignment horizontal="center" vertical="center" wrapText="1" readingOrder="1"/>
    </xf>
    <xf numFmtId="0" fontId="12" fillId="0" borderId="7" xfId="0" applyFont="1" applyBorder="1" applyAlignment="1">
      <alignment horizontal="center" vertical="center"/>
    </xf>
    <xf numFmtId="0" fontId="0" fillId="0" borderId="7" xfId="0" applyBorder="1"/>
    <xf numFmtId="0" fontId="15" fillId="4" borderId="5" xfId="2" applyFont="1" applyFill="1" applyBorder="1" applyAlignment="1">
      <alignment horizontal="center" vertical="center" wrapText="1"/>
    </xf>
    <xf numFmtId="0" fontId="12" fillId="0" borderId="6" xfId="0" applyFont="1" applyBorder="1" applyAlignment="1">
      <alignment horizontal="center" vertical="center"/>
    </xf>
    <xf numFmtId="0" fontId="12" fillId="8" borderId="19" xfId="2" applyFont="1" applyFill="1" applyBorder="1" applyAlignment="1">
      <alignment horizontal="center" vertical="center" wrapText="1"/>
    </xf>
    <xf numFmtId="0" fontId="23" fillId="8" borderId="19" xfId="0" applyFont="1" applyFill="1" applyBorder="1" applyAlignment="1">
      <alignment horizontal="center" vertical="center" wrapText="1" readingOrder="2"/>
    </xf>
    <xf numFmtId="0" fontId="23" fillId="8" borderId="19" xfId="0" applyFont="1" applyFill="1" applyBorder="1" applyAlignment="1">
      <alignment horizontal="right" vertical="center" wrapText="1" readingOrder="2"/>
    </xf>
    <xf numFmtId="0" fontId="23" fillId="8" borderId="19" xfId="0" applyFont="1" applyFill="1" applyBorder="1" applyAlignment="1">
      <alignment horizontal="center" vertical="center" wrapText="1" readingOrder="1"/>
    </xf>
    <xf numFmtId="0" fontId="31" fillId="8" borderId="19" xfId="0" applyFont="1" applyFill="1" applyBorder="1" applyAlignment="1">
      <alignment readingOrder="1"/>
    </xf>
    <xf numFmtId="0" fontId="12" fillId="9" borderId="7" xfId="2" applyFont="1" applyFill="1" applyBorder="1" applyAlignment="1">
      <alignment horizontal="center" vertical="center" wrapText="1"/>
    </xf>
    <xf numFmtId="0" fontId="23" fillId="9" borderId="7" xfId="0" applyFont="1" applyFill="1" applyBorder="1" applyAlignment="1">
      <alignment horizontal="center" vertical="center" wrapText="1" readingOrder="2"/>
    </xf>
    <xf numFmtId="0" fontId="23" fillId="9" borderId="7" xfId="0" applyFont="1" applyFill="1" applyBorder="1" applyAlignment="1">
      <alignment horizontal="right" vertical="center" wrapText="1" readingOrder="2"/>
    </xf>
    <xf numFmtId="0" fontId="23" fillId="9" borderId="7" xfId="0" applyFont="1" applyFill="1" applyBorder="1" applyAlignment="1">
      <alignment horizontal="center" vertical="center" wrapText="1" readingOrder="1"/>
    </xf>
    <xf numFmtId="0" fontId="31" fillId="9" borderId="7" xfId="0" applyFont="1" applyFill="1" applyBorder="1" applyAlignment="1">
      <alignment readingOrder="1"/>
    </xf>
    <xf numFmtId="0" fontId="12" fillId="0" borderId="3" xfId="2" applyFont="1" applyBorder="1" applyAlignment="1">
      <alignment horizontal="center" vertical="center" wrapText="1"/>
    </xf>
    <xf numFmtId="0" fontId="12" fillId="0" borderId="20" xfId="2" applyFont="1" applyBorder="1" applyAlignment="1" applyProtection="1">
      <alignment horizontal="center" vertical="center" wrapText="1"/>
      <protection locked="0"/>
    </xf>
    <xf numFmtId="0" fontId="12" fillId="0" borderId="21" xfId="2" applyFont="1" applyBorder="1" applyAlignment="1">
      <alignment horizontal="center" vertical="center" wrapText="1"/>
    </xf>
    <xf numFmtId="0" fontId="13" fillId="4" borderId="6" xfId="0" applyFont="1" applyFill="1" applyBorder="1" applyAlignment="1">
      <alignment horizontal="center" vertical="center"/>
    </xf>
    <xf numFmtId="0" fontId="12" fillId="0" borderId="9" xfId="2" applyFont="1" applyBorder="1" applyAlignment="1">
      <alignment vertical="center" wrapText="1"/>
    </xf>
    <xf numFmtId="0" fontId="12" fillId="0" borderId="22" xfId="0" applyFont="1" applyBorder="1" applyAlignment="1">
      <alignment horizontal="center" vertical="center"/>
    </xf>
    <xf numFmtId="0" fontId="5" fillId="2" borderId="0" xfId="1" applyFont="1" applyFill="1" applyAlignment="1" applyProtection="1">
      <alignment vertical="center" wrapText="1"/>
      <protection hidden="1"/>
    </xf>
    <xf numFmtId="0" fontId="5" fillId="2" borderId="0" xfId="1" applyFont="1" applyFill="1" applyAlignment="1" applyProtection="1">
      <alignment horizontal="right" vertical="center" wrapText="1"/>
      <protection hidden="1"/>
    </xf>
    <xf numFmtId="0" fontId="33" fillId="11" borderId="9" xfId="0" applyFont="1" applyFill="1" applyBorder="1" applyAlignment="1">
      <alignment readingOrder="2"/>
    </xf>
    <xf numFmtId="0" fontId="33" fillId="11" borderId="24" xfId="0" applyFont="1" applyFill="1" applyBorder="1" applyAlignment="1">
      <alignment wrapText="1" readingOrder="2"/>
    </xf>
    <xf numFmtId="0" fontId="33" fillId="11" borderId="24" xfId="0" applyFont="1" applyFill="1" applyBorder="1" applyAlignment="1">
      <alignment readingOrder="2"/>
    </xf>
    <xf numFmtId="0" fontId="33" fillId="0" borderId="9" xfId="0" applyFont="1" applyBorder="1" applyAlignment="1">
      <alignment readingOrder="2"/>
    </xf>
    <xf numFmtId="0" fontId="34" fillId="12" borderId="24" xfId="0" applyFont="1" applyFill="1" applyBorder="1" applyAlignment="1">
      <alignment wrapText="1"/>
    </xf>
    <xf numFmtId="0" fontId="34" fillId="13" borderId="24" xfId="0" applyFont="1" applyFill="1" applyBorder="1" applyAlignment="1">
      <alignment readingOrder="2"/>
    </xf>
    <xf numFmtId="0" fontId="35" fillId="0" borderId="24" xfId="0" applyFont="1" applyBorder="1" applyAlignment="1">
      <alignment readingOrder="2"/>
    </xf>
    <xf numFmtId="0" fontId="34" fillId="0" borderId="24" xfId="0" applyFont="1" applyBorder="1" applyAlignment="1">
      <alignment readingOrder="2"/>
    </xf>
    <xf numFmtId="0" fontId="34" fillId="14" borderId="24" xfId="0" applyFont="1" applyFill="1" applyBorder="1" applyAlignment="1">
      <alignment readingOrder="2"/>
    </xf>
    <xf numFmtId="0" fontId="36" fillId="0" borderId="9" xfId="0" applyFont="1" applyBorder="1" applyAlignment="1">
      <alignment readingOrder="2"/>
    </xf>
    <xf numFmtId="0" fontId="34" fillId="15" borderId="24" xfId="0" applyFont="1" applyFill="1" applyBorder="1" applyAlignment="1">
      <alignment readingOrder="2"/>
    </xf>
    <xf numFmtId="0" fontId="34" fillId="0" borderId="0" xfId="0" applyFont="1"/>
    <xf numFmtId="0" fontId="37" fillId="4" borderId="4" xfId="0" applyFont="1" applyFill="1" applyBorder="1"/>
    <xf numFmtId="0" fontId="37" fillId="4" borderId="24" xfId="0" applyFont="1" applyFill="1" applyBorder="1"/>
    <xf numFmtId="0" fontId="12" fillId="0" borderId="5" xfId="0" applyFont="1" applyBorder="1" applyAlignment="1">
      <alignment horizontal="right" vertical="center"/>
    </xf>
    <xf numFmtId="0" fontId="0" fillId="0" borderId="0" xfId="0" applyAlignment="1">
      <alignment horizontal="right"/>
    </xf>
    <xf numFmtId="0" fontId="40" fillId="0" borderId="0" xfId="0" applyFont="1"/>
    <xf numFmtId="0" fontId="40" fillId="5" borderId="0" xfId="0" applyFont="1" applyFill="1"/>
    <xf numFmtId="0" fontId="11" fillId="0" borderId="0" xfId="0" applyFont="1"/>
    <xf numFmtId="0" fontId="12" fillId="7" borderId="16" xfId="2" applyFont="1" applyFill="1" applyBorder="1" applyAlignment="1">
      <alignment horizontal="center" vertical="center" wrapText="1"/>
    </xf>
    <xf numFmtId="0" fontId="12" fillId="7" borderId="2" xfId="2" applyFont="1" applyFill="1" applyBorder="1" applyAlignment="1">
      <alignment horizontal="right" vertical="center" wrapText="1"/>
    </xf>
    <xf numFmtId="0" fontId="41" fillId="0" borderId="0" xfId="0" applyFont="1"/>
    <xf numFmtId="0" fontId="42" fillId="0" borderId="0" xfId="0" applyFont="1"/>
    <xf numFmtId="0" fontId="43" fillId="0" borderId="0" xfId="0" applyFont="1"/>
    <xf numFmtId="0" fontId="12" fillId="0" borderId="9" xfId="0" applyFont="1" applyBorder="1" applyAlignment="1">
      <alignment horizontal="center" vertical="center"/>
    </xf>
    <xf numFmtId="0" fontId="12" fillId="0" borderId="7" xfId="0" applyFont="1" applyBorder="1" applyAlignment="1">
      <alignment horizontal="right" vertical="center"/>
    </xf>
    <xf numFmtId="0" fontId="12" fillId="0" borderId="3" xfId="0" applyFont="1" applyBorder="1" applyAlignment="1">
      <alignment horizontal="right" vertical="center"/>
    </xf>
    <xf numFmtId="0" fontId="12" fillId="0" borderId="19" xfId="2" applyFont="1" applyBorder="1" applyAlignment="1">
      <alignment vertical="center" wrapText="1"/>
    </xf>
    <xf numFmtId="0" fontId="12" fillId="0" borderId="19" xfId="0" applyFont="1" applyBorder="1" applyAlignment="1">
      <alignment horizontal="center" vertical="center"/>
    </xf>
    <xf numFmtId="0" fontId="44" fillId="0" borderId="0" xfId="0" applyFont="1"/>
    <xf numFmtId="0" fontId="6" fillId="0" borderId="0" xfId="0" applyFont="1"/>
    <xf numFmtId="0" fontId="45" fillId="0" borderId="0" xfId="0" applyFont="1"/>
    <xf numFmtId="0" fontId="44" fillId="2" borderId="0" xfId="0" applyFont="1" applyFill="1"/>
    <xf numFmtId="0" fontId="33" fillId="10" borderId="5" xfId="0" applyFont="1" applyFill="1" applyBorder="1" applyAlignment="1">
      <alignment readingOrder="2"/>
    </xf>
    <xf numFmtId="0" fontId="33" fillId="10" borderId="23" xfId="0" applyFont="1" applyFill="1" applyBorder="1" applyAlignment="1">
      <alignment readingOrder="2"/>
    </xf>
    <xf numFmtId="0" fontId="33" fillId="10" borderId="4" xfId="0" applyFont="1" applyFill="1" applyBorder="1" applyAlignment="1">
      <alignment readingOrder="2"/>
    </xf>
    <xf numFmtId="0" fontId="17" fillId="3" borderId="0" xfId="0" applyFont="1" applyFill="1" applyAlignment="1">
      <alignment horizontal="center" vertical="center"/>
    </xf>
    <xf numFmtId="0" fontId="17" fillId="3" borderId="1" xfId="0" applyFont="1" applyFill="1" applyBorder="1" applyAlignment="1">
      <alignment horizontal="center" vertical="center"/>
    </xf>
    <xf numFmtId="0" fontId="39" fillId="4" borderId="6" xfId="0" applyFont="1" applyFill="1" applyBorder="1" applyAlignment="1">
      <alignment horizontal="center" vertical="center"/>
    </xf>
    <xf numFmtId="0" fontId="39" fillId="4" borderId="9" xfId="0" applyFont="1" applyFill="1" applyBorder="1" applyAlignment="1">
      <alignment horizontal="center" vertical="center"/>
    </xf>
    <xf numFmtId="0" fontId="38" fillId="4" borderId="23" xfId="3" applyFont="1" applyFill="1" applyBorder="1" applyAlignment="1"/>
    <xf numFmtId="0" fontId="38" fillId="4" borderId="4" xfId="3" applyFont="1" applyFill="1" applyBorder="1" applyAlignment="1"/>
    <xf numFmtId="0" fontId="38" fillId="4" borderId="25" xfId="3" applyFont="1" applyFill="1" applyBorder="1" applyAlignment="1"/>
    <xf numFmtId="0" fontId="16" fillId="3" borderId="0" xfId="0" applyFont="1" applyFill="1" applyAlignment="1">
      <alignment horizontal="center" vertical="center"/>
    </xf>
    <xf numFmtId="0" fontId="16" fillId="3" borderId="1" xfId="0" applyFont="1" applyFill="1" applyBorder="1" applyAlignment="1">
      <alignment horizontal="center" vertical="center"/>
    </xf>
  </cellXfs>
  <cellStyles count="5">
    <cellStyle name="Hyperlink" xfId="3" builtinId="8"/>
    <cellStyle name="Normal" xfId="0" builtinId="0"/>
    <cellStyle name="Normal 2" xfId="2" xr:uid="{F620E448-DE67-409F-9CB8-0AB1B589C6B2}"/>
    <cellStyle name="Normal 3" xfId="4" xr:uid="{379FED47-6D94-40A2-B331-3BE45DCA5F6A}"/>
    <cellStyle name="Normal 5" xfId="1" xr:uid="{E6D18D10-7A6B-4BF2-A16C-A6B440B695F2}"/>
  </cellStyles>
  <dxfs count="166">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numFmt numFmtId="0" formatCode="General"/>
      <fill>
        <patternFill patternType="none">
          <fgColor indexed="64"/>
          <bgColor rgb="FF4F93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3"/>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numFmt numFmtId="0" formatCode="General"/>
      <fill>
        <patternFill patternType="none">
          <fgColor indexed="64"/>
          <bgColor rgb="FF4F93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3"/>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ill>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numFmt numFmtId="0" formatCode="General"/>
      <fill>
        <patternFill patternType="none">
          <fgColor indexed="64"/>
          <bgColor rgb="FF4F93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3"/>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numFmt numFmtId="0" formatCode="General"/>
      <fill>
        <patternFill patternType="none">
          <fgColor indexed="64"/>
          <bgColor rgb="FF4F93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2F2F2"/>
      <color rgb="FF75C989"/>
      <color rgb="FF4F9399"/>
      <color rgb="FF305496"/>
      <color rgb="FF5BC9EE"/>
      <color rgb="FFE1E4E9"/>
      <color rgb="FF3F8877"/>
      <color rgb="FF4BA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9712-4FD1-B190-7D073340F0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12-4FD1-B190-7D073340F075}"/>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C0D3-4E0F-9433-330EE7A0D7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'اسناد مهمة شخصية'!$N$10:$N$12</c:f>
              <c:strCache>
                <c:ptCount val="3"/>
                <c:pt idx="0">
                  <c:v>نجح</c:v>
                </c:pt>
                <c:pt idx="2">
                  <c:v>فشل</c:v>
                </c:pt>
              </c:strCache>
            </c:strRef>
          </c:cat>
          <c:val>
            <c:numRef>
              <c:f>'اسناد مهمة شخصية'!$O$10:$O$12</c:f>
              <c:numCache>
                <c:formatCode>General</c:formatCode>
                <c:ptCount val="3"/>
                <c:pt idx="0">
                  <c:v>0</c:v>
                </c:pt>
                <c:pt idx="2">
                  <c:v>0</c:v>
                </c:pt>
              </c:numCache>
            </c:numRef>
          </c:val>
          <c:extLst>
            <c:ext xmlns:c16="http://schemas.microsoft.com/office/drawing/2014/chart" uri="{C3380CC4-5D6E-409C-BE32-E72D297353CC}">
              <c16:uniqueId val="{00000004-9712-4FD1-B190-7D073340F0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42D-45C7-B66D-1B3FDC13A7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2D-45C7-B66D-1B3FDC13A7EE}"/>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42D-45C7-B66D-1B3FDC13A7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'اسناد مهمة لموظف'!$O$10:$O$12</c:f>
              <c:strCache>
                <c:ptCount val="3"/>
                <c:pt idx="0">
                  <c:v>نجح</c:v>
                </c:pt>
                <c:pt idx="2">
                  <c:v>فشل</c:v>
                </c:pt>
              </c:strCache>
            </c:strRef>
          </c:cat>
          <c:val>
            <c:numRef>
              <c:f>'اسناد مهمة لموظف'!$P$10:$P$12</c:f>
              <c:numCache>
                <c:formatCode>General</c:formatCode>
                <c:ptCount val="3"/>
                <c:pt idx="0">
                  <c:v>0</c:v>
                </c:pt>
                <c:pt idx="2">
                  <c:v>0</c:v>
                </c:pt>
              </c:numCache>
            </c:numRef>
          </c:val>
          <c:extLst>
            <c:ext xmlns:c16="http://schemas.microsoft.com/office/drawing/2014/chart" uri="{C3380CC4-5D6E-409C-BE32-E72D297353CC}">
              <c16:uniqueId val="{00000006-142D-45C7-B66D-1B3FDC13A7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AC5B-435A-AE88-6571C94BE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5B-435A-AE88-6571C94BE23D}"/>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AC5B-435A-AE88-6571C94BE2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'اسناد مهمة لفريق'!$O$10:$O$12</c:f>
              <c:strCache>
                <c:ptCount val="3"/>
                <c:pt idx="0">
                  <c:v>نجح</c:v>
                </c:pt>
                <c:pt idx="2">
                  <c:v>فشل</c:v>
                </c:pt>
              </c:strCache>
            </c:strRef>
          </c:cat>
          <c:val>
            <c:numRef>
              <c:f>'اسناد مهمة لفريق'!$P$10:$P$12</c:f>
              <c:numCache>
                <c:formatCode>General</c:formatCode>
                <c:ptCount val="3"/>
                <c:pt idx="0">
                  <c:v>0</c:v>
                </c:pt>
                <c:pt idx="2">
                  <c:v>0</c:v>
                </c:pt>
              </c:numCache>
            </c:numRef>
          </c:val>
          <c:extLst>
            <c:ext xmlns:c16="http://schemas.microsoft.com/office/drawing/2014/chart" uri="{C3380CC4-5D6E-409C-BE32-E72D297353CC}">
              <c16:uniqueId val="{00000006-AC5B-435A-AE88-6571C94BE2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E06-4A8E-95A6-14991838D8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6-4A8E-95A6-14991838D859}"/>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E06-4A8E-95A6-14991838D8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'اسناد مهمه لمنصب خاص'!$O$10:$O$12</c:f>
              <c:strCache>
                <c:ptCount val="3"/>
                <c:pt idx="0">
                  <c:v>نجح</c:v>
                </c:pt>
                <c:pt idx="2">
                  <c:v>فشل</c:v>
                </c:pt>
              </c:strCache>
            </c:strRef>
          </c:cat>
          <c:val>
            <c:numRef>
              <c:f>'اسناد مهمه لمنصب خاص'!$P$10:$P$12</c:f>
              <c:numCache>
                <c:formatCode>General</c:formatCode>
                <c:ptCount val="3"/>
                <c:pt idx="0">
                  <c:v>0</c:v>
                </c:pt>
                <c:pt idx="2">
                  <c:v>0</c:v>
                </c:pt>
              </c:numCache>
            </c:numRef>
          </c:val>
          <c:extLst>
            <c:ext xmlns:c16="http://schemas.microsoft.com/office/drawing/2014/chart" uri="{C3380CC4-5D6E-409C-BE32-E72D297353CC}">
              <c16:uniqueId val="{00000006-1E06-4A8E-95A6-14991838D8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7966-434B-83CD-7CAB280FAE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66-434B-83CD-7CAB280FAEB5}"/>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7966-434B-83CD-7CAB280FAE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'امكانية اسناد مهمة الى اخرين'!$O$10:$O$12</c:f>
              <c:strCache>
                <c:ptCount val="3"/>
                <c:pt idx="0">
                  <c:v>نجح</c:v>
                </c:pt>
                <c:pt idx="2">
                  <c:v>فشل</c:v>
                </c:pt>
              </c:strCache>
            </c:strRef>
          </c:cat>
          <c:val>
            <c:numRef>
              <c:f>'امكانية اسناد مهمة الى اخرين'!$P$10:$P$12</c:f>
              <c:numCache>
                <c:formatCode>General</c:formatCode>
                <c:ptCount val="3"/>
                <c:pt idx="0">
                  <c:v>0</c:v>
                </c:pt>
                <c:pt idx="2">
                  <c:v>0</c:v>
                </c:pt>
              </c:numCache>
            </c:numRef>
          </c:val>
          <c:extLst>
            <c:ext xmlns:c16="http://schemas.microsoft.com/office/drawing/2014/chart" uri="{C3380CC4-5D6E-409C-BE32-E72D297353CC}">
              <c16:uniqueId val="{00000006-7966-434B-83CD-7CAB280FAE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875A-46B3-9710-397FC39D31E7}"/>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875A-46B3-9710-397FC39D3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'مهمة مسندة الى اخرين'!$O$10:$O$11</c:f>
              <c:strCache>
                <c:ptCount val="2"/>
                <c:pt idx="0">
                  <c:v>نجح</c:v>
                </c:pt>
                <c:pt idx="1">
                  <c:v>فشل</c:v>
                </c:pt>
              </c:strCache>
            </c:strRef>
          </c:cat>
          <c:val>
            <c:numRef>
              <c:f>'مهمة مسندة الى اخرين'!$P$10:$P$11</c:f>
              <c:numCache>
                <c:formatCode>General</c:formatCode>
                <c:ptCount val="2"/>
                <c:pt idx="0">
                  <c:v>1</c:v>
                </c:pt>
                <c:pt idx="1">
                  <c:v>1</c:v>
                </c:pt>
              </c:numCache>
            </c:numRef>
          </c:val>
          <c:extLst>
            <c:ext xmlns:c16="http://schemas.microsoft.com/office/drawing/2014/chart" uri="{C3380CC4-5D6E-409C-BE32-E72D297353CC}">
              <c16:uniqueId val="{00000004-875A-46B3-9710-397FC39D31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5C08-4E11-9864-92513E9AD5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08-4E11-9864-92513E9AD5A1}"/>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5C08-4E11-9864-92513E9AD5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'اسناد مهمه لممثل الادارة '!$O$10:$O$12</c:f>
              <c:strCache>
                <c:ptCount val="3"/>
                <c:pt idx="0">
                  <c:v>نجح</c:v>
                </c:pt>
                <c:pt idx="2">
                  <c:v>فشل</c:v>
                </c:pt>
              </c:strCache>
            </c:strRef>
          </c:cat>
          <c:val>
            <c:numRef>
              <c:f>'اسناد مهمه لممثل الادارة '!$P$10:$P$12</c:f>
              <c:numCache>
                <c:formatCode>General</c:formatCode>
                <c:ptCount val="3"/>
                <c:pt idx="0">
                  <c:v>0</c:v>
                </c:pt>
                <c:pt idx="2">
                  <c:v>0</c:v>
                </c:pt>
              </c:numCache>
            </c:numRef>
          </c:val>
          <c:extLst>
            <c:ext xmlns:c16="http://schemas.microsoft.com/office/drawing/2014/chart" uri="{C3380CC4-5D6E-409C-BE32-E72D297353CC}">
              <c16:uniqueId val="{00000006-5C08-4E11-9864-92513E9AD5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5275-48A2-8A9E-A55A1D1B2BDB}"/>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5275-48A2-8A9E-A55A1D1B2B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التفويض!$O$10:$O$11</c:f>
              <c:strCache>
                <c:ptCount val="2"/>
                <c:pt idx="0">
                  <c:v>نجح</c:v>
                </c:pt>
                <c:pt idx="1">
                  <c:v>فشل</c:v>
                </c:pt>
              </c:strCache>
            </c:strRef>
          </c:cat>
          <c:val>
            <c:numRef>
              <c:f>التفويض!$P$10:$P$11</c:f>
              <c:numCache>
                <c:formatCode>General</c:formatCode>
                <c:ptCount val="2"/>
                <c:pt idx="0">
                  <c:v>0</c:v>
                </c:pt>
                <c:pt idx="1">
                  <c:v>0</c:v>
                </c:pt>
              </c:numCache>
            </c:numRef>
          </c:val>
          <c:extLst>
            <c:ext xmlns:c16="http://schemas.microsoft.com/office/drawing/2014/chart" uri="{C3380CC4-5D6E-409C-BE32-E72D297353CC}">
              <c16:uniqueId val="{00000004-5275-48A2-8A9E-A55A1D1B2B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87D6-4C0D-970B-CDC815C8D103}"/>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87D6-4C0D-970B-CDC815C8D1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'لوحة المعلومات'!$O$10:$O$11</c:f>
              <c:strCache>
                <c:ptCount val="2"/>
                <c:pt idx="0">
                  <c:v>نجح</c:v>
                </c:pt>
                <c:pt idx="1">
                  <c:v>فشل</c:v>
                </c:pt>
              </c:strCache>
            </c:strRef>
          </c:cat>
          <c:val>
            <c:numRef>
              <c:f>'لوحة المعلومات'!$P$10:$P$11</c:f>
              <c:numCache>
                <c:formatCode>General</c:formatCode>
                <c:ptCount val="2"/>
                <c:pt idx="0">
                  <c:v>0</c:v>
                </c:pt>
                <c:pt idx="1">
                  <c:v>0</c:v>
                </c:pt>
              </c:numCache>
            </c:numRef>
          </c:val>
          <c:extLst>
            <c:ext xmlns:c16="http://schemas.microsoft.com/office/drawing/2014/chart" uri="{C3380CC4-5D6E-409C-BE32-E72D297353CC}">
              <c16:uniqueId val="{00000004-87D6-4C0D-970B-CDC815C8D1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B784-4533-B63E-54BC4B8A7059}"/>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B784-4533-B63E-54BC4B8A70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التقارير!$O$10:$O$11</c:f>
              <c:strCache>
                <c:ptCount val="2"/>
                <c:pt idx="0">
                  <c:v>نجح</c:v>
                </c:pt>
                <c:pt idx="1">
                  <c:v>فشل</c:v>
                </c:pt>
              </c:strCache>
            </c:strRef>
          </c:cat>
          <c:val>
            <c:numRef>
              <c:f>التقارير!$P$10:$P$11</c:f>
              <c:numCache>
                <c:formatCode>General</c:formatCode>
                <c:ptCount val="2"/>
                <c:pt idx="0">
                  <c:v>0</c:v>
                </c:pt>
                <c:pt idx="1">
                  <c:v>0</c:v>
                </c:pt>
              </c:numCache>
            </c:numRef>
          </c:val>
          <c:extLst>
            <c:ext xmlns:c16="http://schemas.microsoft.com/office/drawing/2014/chart" uri="{C3380CC4-5D6E-409C-BE32-E72D297353CC}">
              <c16:uniqueId val="{00000004-B784-4533-B63E-54BC4B8A70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2675164</xdr:colOff>
      <xdr:row>5</xdr:row>
      <xdr:rowOff>170020</xdr:rowOff>
    </xdr:from>
    <xdr:to>
      <xdr:col>4</xdr:col>
      <xdr:colOff>54222</xdr:colOff>
      <xdr:row>12</xdr:row>
      <xdr:rowOff>213678</xdr:rowOff>
    </xdr:to>
    <xdr:graphicFrame macro="">
      <xdr:nvGraphicFramePr>
        <xdr:cNvPr id="3" name="Chart 2">
          <a:extLst>
            <a:ext uri="{FF2B5EF4-FFF2-40B4-BE49-F238E27FC236}">
              <a16:creationId xmlns:a16="http://schemas.microsoft.com/office/drawing/2014/main" id="{5D8DEB02-B9D9-4978-8F54-BF41E3FA7367}"/>
            </a:ext>
            <a:ext uri="{147F2762-F138-4A5C-976F-8EAC2B608ADB}">
              <a16:predDERef xmlns:a16="http://schemas.microsoft.com/office/drawing/2014/main" pred="{ACCDE525-BD7E-49AD-A0C6-5D12E7759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073A896A-C45C-4BDB-89DA-21BCFFE4EFCE}"/>
            </a:ext>
            <a:ext uri="{147F2762-F138-4A5C-976F-8EAC2B608ADB}">
              <a16:predDERef xmlns:a16="http://schemas.microsoft.com/office/drawing/2014/main" pred="{A36F3819-F2D6-4CF4-84EC-5F897E0C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A516CAB0-D898-4B7A-9F67-071F512FC6D8}"/>
            </a:ext>
            <a:ext uri="{147F2762-F138-4A5C-976F-8EAC2B608ADB}">
              <a16:predDERef xmlns:a16="http://schemas.microsoft.com/office/drawing/2014/main" pred="{15592E93-B27E-4B69-9BBD-F74AFB7E1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71FC3106-961D-4F2A-8746-92F469912BA7}"/>
            </a:ext>
            <a:ext uri="{147F2762-F138-4A5C-976F-8EAC2B608ADB}">
              <a16:predDERef xmlns:a16="http://schemas.microsoft.com/office/drawing/2014/main" pred="{CBA958EB-6B1D-46CB-8A06-7504F167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154C2946-6579-48E0-96CE-B0BCD296B2DB}"/>
            </a:ext>
            <a:ext uri="{147F2762-F138-4A5C-976F-8EAC2B608ADB}">
              <a16:predDERef xmlns:a16="http://schemas.microsoft.com/office/drawing/2014/main" pred="{C988DA55-0BD5-4B59-BF08-2D72782D8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317949</xdr:colOff>
      <xdr:row>0</xdr:row>
      <xdr:rowOff>0</xdr:rowOff>
    </xdr:from>
    <xdr:ext cx="3362632" cy="1097280"/>
    <xdr:pic>
      <xdr:nvPicPr>
        <xdr:cNvPr id="2" name="image1.png">
          <a:extLst>
            <a:ext uri="{FF2B5EF4-FFF2-40B4-BE49-F238E27FC236}">
              <a16:creationId xmlns:a16="http://schemas.microsoft.com/office/drawing/2014/main" id="{115A5876-4B62-4DB2-B948-7688DCDE71F5}"/>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915373369" y="0"/>
          <a:ext cx="3362632" cy="1097280"/>
        </a:xfrm>
        <a:prstGeom prst="rect">
          <a:avLst/>
        </a:prstGeom>
        <a:noFill/>
      </xdr:spPr>
    </xdr:pic>
    <xdr:clientData fLocksWithSheet="0"/>
  </xdr:oneCellAnchor>
  <xdr:twoCellAnchor>
    <xdr:from>
      <xdr:col>3</xdr:col>
      <xdr:colOff>1513114</xdr:colOff>
      <xdr:row>5</xdr:row>
      <xdr:rowOff>331945</xdr:rowOff>
    </xdr:from>
    <xdr:to>
      <xdr:col>4</xdr:col>
      <xdr:colOff>2930772</xdr:colOff>
      <xdr:row>12</xdr:row>
      <xdr:rowOff>23178</xdr:rowOff>
    </xdr:to>
    <xdr:graphicFrame macro="">
      <xdr:nvGraphicFramePr>
        <xdr:cNvPr id="3" name="Chart 2">
          <a:extLst>
            <a:ext uri="{FF2B5EF4-FFF2-40B4-BE49-F238E27FC236}">
              <a16:creationId xmlns:a16="http://schemas.microsoft.com/office/drawing/2014/main" id="{800CD296-2C41-4965-8973-F0DD6C347D60}"/>
            </a:ext>
            <a:ext uri="{147F2762-F138-4A5C-976F-8EAC2B608ADB}">
              <a16:predDERef xmlns:a16="http://schemas.microsoft.com/office/drawing/2014/main" pred="{115A5876-4B62-4DB2-B948-7688DCDE7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F8E7B660-BBAA-42CE-B786-2FD350D7C6AF}"/>
            </a:ext>
            <a:ext uri="{147F2762-F138-4A5C-976F-8EAC2B608ADB}">
              <a16:predDERef xmlns:a16="http://schemas.microsoft.com/office/drawing/2014/main" pred="{417A5E33-7409-494E-AE25-E12792592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1255939</xdr:colOff>
      <xdr:row>6</xdr:row>
      <xdr:rowOff>93820</xdr:rowOff>
    </xdr:from>
    <xdr:to>
      <xdr:col>5</xdr:col>
      <xdr:colOff>2673597</xdr:colOff>
      <xdr:row>12</xdr:row>
      <xdr:rowOff>118428</xdr:rowOff>
    </xdr:to>
    <xdr:graphicFrame macro="">
      <xdr:nvGraphicFramePr>
        <xdr:cNvPr id="3" name="Chart 3">
          <a:extLst>
            <a:ext uri="{FF2B5EF4-FFF2-40B4-BE49-F238E27FC236}">
              <a16:creationId xmlns:a16="http://schemas.microsoft.com/office/drawing/2014/main" id="{1A5A5F5B-6140-4368-8CED-E979F1653EE0}"/>
            </a:ext>
            <a:ext uri="{147F2762-F138-4A5C-976F-8EAC2B608ADB}">
              <a16:predDERef xmlns:a16="http://schemas.microsoft.com/office/drawing/2014/main" pred="{EFDFBC67-9B95-43C9-A240-8119C0B8D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1255939</xdr:colOff>
      <xdr:row>6</xdr:row>
      <xdr:rowOff>93820</xdr:rowOff>
    </xdr:from>
    <xdr:to>
      <xdr:col>4</xdr:col>
      <xdr:colOff>2673597</xdr:colOff>
      <xdr:row>12</xdr:row>
      <xdr:rowOff>118428</xdr:rowOff>
    </xdr:to>
    <xdr:graphicFrame macro="">
      <xdr:nvGraphicFramePr>
        <xdr:cNvPr id="3" name="Chart 3">
          <a:extLst>
            <a:ext uri="{FF2B5EF4-FFF2-40B4-BE49-F238E27FC236}">
              <a16:creationId xmlns:a16="http://schemas.microsoft.com/office/drawing/2014/main" id="{633AAB39-F704-48A6-9358-409F48D7AD44}"/>
            </a:ext>
            <a:ext uri="{147F2762-F138-4A5C-976F-8EAC2B608ADB}">
              <a16:predDERef xmlns:a16="http://schemas.microsoft.com/office/drawing/2014/main" pred="{82A63DFD-5E66-46D9-871D-F2C2705DD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1255939</xdr:colOff>
      <xdr:row>6</xdr:row>
      <xdr:rowOff>93820</xdr:rowOff>
    </xdr:from>
    <xdr:to>
      <xdr:col>5</xdr:col>
      <xdr:colOff>2673597</xdr:colOff>
      <xdr:row>12</xdr:row>
      <xdr:rowOff>118428</xdr:rowOff>
    </xdr:to>
    <xdr:graphicFrame macro="">
      <xdr:nvGraphicFramePr>
        <xdr:cNvPr id="3" name="Chart 3">
          <a:extLst>
            <a:ext uri="{FF2B5EF4-FFF2-40B4-BE49-F238E27FC236}">
              <a16:creationId xmlns:a16="http://schemas.microsoft.com/office/drawing/2014/main" id="{53C07570-D425-47AF-8A53-FA17A9B62B6F}"/>
            </a:ext>
            <a:ext uri="{147F2762-F138-4A5C-976F-8EAC2B608ADB}">
              <a16:predDERef xmlns:a16="http://schemas.microsoft.com/office/drawing/2014/main" pred="{EF7A13F2-86BB-4591-B573-AFAF00AC0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sbmesa-my.sharepoint.com/Users/USER1/AppData/Local/Microsoft/Windows/INetCache/Content.Outlook/469OZFS6/&#1587;&#1610;&#1606;&#1575;&#1585;&#1610;&#1608;%20&#1573;&#1582;&#1578;&#1576;&#1575;&#1585;%20&#1606;&#1592;&#1575;&#1605;%20&#1578;&#1585;&#1575;&#1587;&#1604;%20_%20IMO%20%20comments%20_%20&#1575;&#1604;&#1573;&#1589;&#1583;&#1575;&#1585;%20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إصدار"/>
      <sheetName val="سيناريوهات الإختبار"/>
      <sheetName val="1 . نموذج الوارد"/>
      <sheetName val="2 . نموذج الصادر"/>
      <sheetName val="3 . نموذج الوارد السري"/>
      <sheetName val="4 . نموذج الصادر السري"/>
      <sheetName val="5 . نموذج الداخلي"/>
      <sheetName val="6 . التعاميم"/>
      <sheetName val="7 . القرارات"/>
      <sheetName val="_Values_"/>
      <sheetName val="8 . عملية - التخصيص"/>
      <sheetName val="9 . التفويض"/>
      <sheetName val="10 . المتابع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620609-9FC2-4F1B-A6A6-34977621E8D1}" name="Table226837136" displayName="Table226837136" ref="A16:G23" insertRowShift="1" totalsRowShown="0" headerRowDxfId="165" dataDxfId="163" headerRowBorderDxfId="164" tableBorderDxfId="162" totalsRowBorderDxfId="161">
  <autoFilter ref="A16:G23" xr:uid="{42EC6AF4-B771-48DE-8F9B-B00D10F4F178}"/>
  <tableColumns count="7">
    <tableColumn id="1" xr3:uid="{B40D2599-B248-4C95-B241-5CA9B04DE215}" name="رقم" dataDxfId="160" dataCellStyle="Normal 2"/>
    <tableColumn id="2" xr3:uid="{86232097-EC7A-4E4C-8D3C-C951BD850C9F}" name="شروط مسبقة" dataDxfId="159" dataCellStyle="Normal 2"/>
    <tableColumn id="6" xr3:uid="{7FDAE02F-C4A6-4DE4-9814-0BDADA6A52D0}" name="وصف حالة الاختبار " dataDxfId="158" dataCellStyle="Normal 2"/>
    <tableColumn id="8" xr3:uid="{B01EB582-CF9B-4CF1-A250-D71DAF191315}" name="حالات الاختبار  " dataDxfId="157" dataCellStyle="Normal 2"/>
    <tableColumn id="3" xr3:uid="{6156149E-6695-4DD8-9A19-346519488F4B}" name="النتائج المتوقعة" dataDxfId="156" dataCellStyle="Normal 2"/>
    <tableColumn id="4" xr3:uid="{86C08D21-6C06-46EB-9E5D-763B2246455A}" name="النتائج الفعلية " dataDxfId="155" dataCellStyle="Normal 2"/>
    <tableColumn id="7" xr3:uid="{D5705C89-3FDE-4943-84C2-3EA626B2976F}" name="نتائج الإختبار" dataDxfId="15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4A39886-5057-4A3A-A6A9-0D18D523DE52}" name="Table226837136101213" displayName="Table226837136101213" ref="A16:G38" insertRowShift="1" totalsRowShown="0" headerRowDxfId="153" dataDxfId="151" headerRowBorderDxfId="152" tableBorderDxfId="150" totalsRowBorderDxfId="149">
  <autoFilter ref="A16:G38" xr:uid="{42EC6AF4-B771-48DE-8F9B-B00D10F4F178}"/>
  <tableColumns count="7">
    <tableColumn id="1" xr3:uid="{C54D9031-F754-49F6-8BB2-1B2FFC4505B8}" name="رقم" dataDxfId="148" dataCellStyle="Normal 2"/>
    <tableColumn id="2" xr3:uid="{0D2582E6-C97C-4FD5-8AB2-1ABEFCCF0858}" name="شروط مسبقة" dataDxfId="147" dataCellStyle="Normal 2"/>
    <tableColumn id="6" xr3:uid="{84F511CB-EFE5-4585-AC5B-E48A980E5786}" name="وصف حالة الاختبار " dataDxfId="146" dataCellStyle="Normal 2"/>
    <tableColumn id="8" xr3:uid="{B2730A32-E9C3-45E0-8B15-9979AF232460}" name="حالات الاختبار  " dataDxfId="145" dataCellStyle="Normal 2"/>
    <tableColumn id="3" xr3:uid="{8059BA7F-C660-43F6-A8FF-A11B4B4A94E5}" name="النتائج المتوقعة" dataDxfId="144" dataCellStyle="Normal 2"/>
    <tableColumn id="4" xr3:uid="{0C52E04E-2AA5-4D38-B77F-0B90C6A584C9}" name="النتائج الفعلية " dataDxfId="143" dataCellStyle="Normal 2"/>
    <tableColumn id="7" xr3:uid="{711E02B9-7ADB-47FE-BB93-112D39E1FEFD}" name="نتائج الإختبار" dataDxfId="14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733DFE-DE5E-47F7-B4E4-521749D39859}" name="Table2268371361012" displayName="Table2268371361012" ref="A16:G39" insertRowShift="1" totalsRowShown="0" headerRowDxfId="141" dataDxfId="139" headerRowBorderDxfId="140" tableBorderDxfId="138" totalsRowBorderDxfId="137">
  <autoFilter ref="A16:G39" xr:uid="{42EC6AF4-B771-48DE-8F9B-B00D10F4F178}"/>
  <tableColumns count="7">
    <tableColumn id="1" xr3:uid="{1C6ED977-5407-4927-B185-DDFB2C11D8EB}" name="رقم" dataDxfId="136" dataCellStyle="Normal 2"/>
    <tableColumn id="2" xr3:uid="{3080B1D4-A9EA-4152-910E-3F56637AFFEC}" name="شروط مسبقة" dataDxfId="135" dataCellStyle="Normal 2"/>
    <tableColumn id="6" xr3:uid="{79193F34-AA89-4713-90F7-9EBC31C66320}" name="وصف حالة الاختبار " dataDxfId="134" dataCellStyle="Normal 2"/>
    <tableColumn id="8" xr3:uid="{33944DF4-3846-4914-BFA9-9F369FA75C89}" name="حالات الاختبار  " dataDxfId="133" dataCellStyle="Normal 2"/>
    <tableColumn id="3" xr3:uid="{BABD75C3-BCC3-4A12-BEE6-E82D9DA5183B}" name="النتائج المتوقعة" dataDxfId="132" dataCellStyle="Normal 2"/>
    <tableColumn id="4" xr3:uid="{AD2FAFDB-E4F3-486B-B9F9-742C128293F7}" name="النتائج الفعلية " dataDxfId="131" dataCellStyle="Normal 2"/>
    <tableColumn id="7" xr3:uid="{E0400640-0FC3-404B-B19B-59F211209BE0}" name="نتائج الإختبار" dataDxfId="13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969FB2-28FF-422A-A7B6-2E955EB6C0AB}" name="Table2268371361014" displayName="Table2268371361014" ref="A16:G37" insertRowShift="1" totalsRowShown="0" headerRowDxfId="129" dataDxfId="127" headerRowBorderDxfId="128" tableBorderDxfId="126" totalsRowBorderDxfId="125">
  <autoFilter ref="A16:G37" xr:uid="{42EC6AF4-B771-48DE-8F9B-B00D10F4F178}"/>
  <tableColumns count="7">
    <tableColumn id="1" xr3:uid="{F3C96C8D-164B-4159-8C28-CADFC0EF4B23}" name="رقم" dataDxfId="124" dataCellStyle="Normal 2"/>
    <tableColumn id="2" xr3:uid="{1BBB95B1-F298-4E1B-8E80-A8CB4D1D440F}" name="شروط مسبقة" dataDxfId="123" dataCellStyle="Normal 2"/>
    <tableColumn id="6" xr3:uid="{F577D6CA-177B-4EB3-B586-698867837F70}" name="وصف حالة الاختبار " dataDxfId="122" dataCellStyle="Normal 2"/>
    <tableColumn id="8" xr3:uid="{1A35A365-AD4B-4312-A356-08DA25E30B22}" name="حالات الاختبار  " dataDxfId="121" dataCellStyle="Normal 2"/>
    <tableColumn id="3" xr3:uid="{3B89B691-BBA9-4CCC-B819-7C91411B8A7F}" name="النتائج المتوقعة" dataDxfId="120" dataCellStyle="Normal 2"/>
    <tableColumn id="4" xr3:uid="{8687B6A7-E58B-4A32-B8AA-33FA498DC740}" name="النتائج الفعلية " dataDxfId="119" dataCellStyle="Normal 2"/>
    <tableColumn id="7" xr3:uid="{0CD39B30-DAC7-4CC9-A78D-C42CF00D525E}" name="نتائج الإختبار" dataDxfId="118"/>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849513-A5D4-4442-B672-B30FAD19214D}" name="Table22683713610" displayName="Table22683713610" ref="A16:G47" insertRowShift="1" totalsRowShown="0" headerRowDxfId="117" dataDxfId="115" headerRowBorderDxfId="116" tableBorderDxfId="114" totalsRowBorderDxfId="113">
  <autoFilter ref="A16:G47" xr:uid="{42EC6AF4-B771-48DE-8F9B-B00D10F4F178}"/>
  <tableColumns count="7">
    <tableColumn id="1" xr3:uid="{F644ED4C-70FE-41E5-B71D-D58404C03379}" name="رقم" dataDxfId="112" dataCellStyle="Normal 2"/>
    <tableColumn id="2" xr3:uid="{4F474C31-8A9A-4C18-A3FC-26C49D1BF1B3}" name="شروط مسبقة" dataDxfId="111" dataCellStyle="Normal 2"/>
    <tableColumn id="6" xr3:uid="{5D79E5FE-B702-47F4-9C4B-5DCE03A6CDB1}" name="وصف حالة الاختبار " dataDxfId="110" dataCellStyle="Normal 2"/>
    <tableColumn id="8" xr3:uid="{B47FFF1E-3FAD-4173-84EE-55A21D5E47F4}" name="حالات الاختبار  " dataDxfId="109" dataCellStyle="Normal 2"/>
    <tableColumn id="3" xr3:uid="{AF7F9D50-9FE7-4CF6-BFD8-E15E72513A25}" name="النتائج المتوقعة" dataDxfId="108" dataCellStyle="Normal 2"/>
    <tableColumn id="4" xr3:uid="{7682617F-D453-4C98-9EFD-E3E3D1D34BDD}" name="النتائج الفعلية " dataDxfId="107" dataCellStyle="Normal 2"/>
    <tableColumn id="7" xr3:uid="{D508957E-8378-4DFA-80B8-4BEC4F8A7AE5}" name="نتائج الإختبار" dataDxfId="10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DFD81B-7CC4-4E2D-82D1-B7ADAD6C10D6}" name="Table22683713658" displayName="Table22683713658" ref="A15:G19" insertRowShift="1" totalsRowShown="0" headerRowDxfId="105" dataDxfId="103" headerRowBorderDxfId="104" tableBorderDxfId="102" totalsRowBorderDxfId="101">
  <autoFilter ref="A15:G19" xr:uid="{42EC6AF4-B771-48DE-8F9B-B00D10F4F178}"/>
  <tableColumns count="7">
    <tableColumn id="1" xr3:uid="{C7FB11A9-BEF9-4FE8-AD46-03F4C3A4FB91}" name="رقم" dataDxfId="100"/>
    <tableColumn id="2" xr3:uid="{07570848-7BB0-42FA-8FFE-88240C789475}" name="شروط مسبقة" dataDxfId="99" dataCellStyle="Normal 2"/>
    <tableColumn id="6" xr3:uid="{EAEC4A0D-660F-492C-BD96-94C9202B79AB}" name="وصف حالة الاختبار " dataDxfId="98" dataCellStyle="Normal 2"/>
    <tableColumn id="8" xr3:uid="{08B6483E-E9F9-4446-97BB-0489C6E67C9C}" name="حالات الاختبار  " dataDxfId="97" dataCellStyle="Normal 2"/>
    <tableColumn id="3" xr3:uid="{B02AFA1C-3A57-481D-9419-16ADA276CE32}" name="النتائج المتوقعة" dataDxfId="96" dataCellStyle="Normal 2"/>
    <tableColumn id="4" xr3:uid="{8B045A65-F4D6-4B7E-AB81-431DE515563F}" name="النتائج الفعلية " dataDxfId="95" dataCellStyle="Normal 2"/>
    <tableColumn id="7" xr3:uid="{261604BA-E012-411E-BE21-4EF137D593BE}" name="نتائج الإختبار" dataDxfId="94"/>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1A6C8C-6501-42F1-99E9-4A03239456E2}" name="Table2268371361012137" displayName="Table2268371361012137" ref="A16:G28" insertRowShift="1" totalsRowShown="0" headerRowDxfId="93" dataDxfId="91" headerRowBorderDxfId="92" tableBorderDxfId="90" totalsRowBorderDxfId="89">
  <autoFilter ref="A16:G28" xr:uid="{42EC6AF4-B771-48DE-8F9B-B00D10F4F178}"/>
  <tableColumns count="7">
    <tableColumn id="1" xr3:uid="{7F735866-783A-4577-84C3-827D35EFC895}" name="رقم" dataDxfId="88" dataCellStyle="Normal 2"/>
    <tableColumn id="2" xr3:uid="{D7F7D997-1456-4555-A262-E111BFCBDC64}" name="شروط مسبقة" dataDxfId="87" dataCellStyle="Normal 2"/>
    <tableColumn id="6" xr3:uid="{46AFA0E8-7C08-46FA-BE52-93C63B7145F1}" name="وصف حالة الاختبار " dataDxfId="86" dataCellStyle="Normal 2"/>
    <tableColumn id="8" xr3:uid="{7F208589-0A7B-4B0A-ADA3-1CAE7DE709CE}" name="حالات الاختبار  " dataDxfId="85" dataCellStyle="Normal 2"/>
    <tableColumn id="3" xr3:uid="{336EB135-349C-4414-8D3B-FF52958C92EA}" name="النتائج المتوقعة" dataDxfId="84" dataCellStyle="Normal 2"/>
    <tableColumn id="4" xr3:uid="{AE53A1FE-915C-4535-B676-292B3A8C4A8B}" name="النتائج الفعلية " dataDxfId="83" dataCellStyle="Normal 2"/>
    <tableColumn id="7" xr3:uid="{4880D11D-6D14-4BFB-A448-07D6E4C45CB2}" name="نتائج الإختبار" dataDxfId="8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A47851-057C-4329-AD6F-AEF664009A8D}" name="Table22683713234" displayName="Table22683713234" ref="A15:G26" insertRowShift="1" totalsRowShown="0" headerRowDxfId="81" dataDxfId="79" headerRowBorderDxfId="80" tableBorderDxfId="78" totalsRowBorderDxfId="77">
  <autoFilter ref="A15:G26" xr:uid="{42EC6AF4-B771-48DE-8F9B-B00D10F4F178}"/>
  <tableColumns count="7">
    <tableColumn id="1" xr3:uid="{5FFEEAB5-BBC7-43CC-8F20-E2A8563F0A2E}" name="رقم" dataDxfId="76"/>
    <tableColumn id="2" xr3:uid="{17FBD934-6A29-463B-A90D-1FF6582F4F52}" name="شروط مسبقة" dataDxfId="75" dataCellStyle="Normal 2"/>
    <tableColumn id="6" xr3:uid="{C0C33888-7044-4875-B8E1-745D16EFB2D2}" name="وصف حالة الاختبار " dataDxfId="74" dataCellStyle="Normal 2"/>
    <tableColumn id="8" xr3:uid="{4065A895-C0D2-49B5-8111-2A7709310641}" name="حالات الاختبار  " dataDxfId="73" dataCellStyle="Normal 2"/>
    <tableColumn id="3" xr3:uid="{621AC742-40C1-441E-8F7A-37B81D4B7AC8}" name="النتائج المتوقعة" dataDxfId="72" dataCellStyle="Normal 2"/>
    <tableColumn id="4" xr3:uid="{63A5D533-BAAB-4545-94D1-2490592590B4}" name="النتائج الفعلية " dataDxfId="71" dataCellStyle="Normal 2"/>
    <tableColumn id="7" xr3:uid="{213FBBBC-E46F-4B3A-A5E3-B55617A36A56}" name="نتائج الإختبار" dataDxfId="7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A31DE9-011D-4BC7-A7BB-89D0C63C650C}" name="Table2268371323" displayName="Table2268371323" ref="A15:G17" insertRowShift="1" totalsRowShown="0" headerRowDxfId="69" dataDxfId="67" headerRowBorderDxfId="68" tableBorderDxfId="66" totalsRowBorderDxfId="65">
  <autoFilter ref="A15:G17" xr:uid="{42EC6AF4-B771-48DE-8F9B-B00D10F4F178}"/>
  <tableColumns count="7">
    <tableColumn id="1" xr3:uid="{9EA64D8C-1E6E-4CAF-9B28-BD8DE1745E20}" name="رقم" dataDxfId="64"/>
    <tableColumn id="2" xr3:uid="{05F59302-5F98-4899-A561-7C39D6593E8D}" name="شروط مسبقة" dataDxfId="63" dataCellStyle="Normal 2"/>
    <tableColumn id="6" xr3:uid="{0B5DDDD2-7E59-4B1B-A26F-9FC2742C6AC8}" name="وصف حالة الاختبار " dataDxfId="62" dataCellStyle="Normal 2"/>
    <tableColumn id="8" xr3:uid="{62938792-C907-476E-8D33-AF3A1AFF9712}" name="حالات الاختبار  " dataDxfId="61" dataCellStyle="Normal 2"/>
    <tableColumn id="3" xr3:uid="{11D09B84-9923-4392-A05F-955DCDCEF3A5}" name="النتائج المتوقعة" dataDxfId="60" dataCellStyle="Normal 2"/>
    <tableColumn id="4" xr3:uid="{9A058D13-58F5-4351-9800-D2ABD257E5F7}" name="النتائج الفعلية " dataDxfId="59" dataCellStyle="Normal 2"/>
    <tableColumn id="7" xr3:uid="{596B54A8-82D2-4180-B213-83F7734F448F}" name="نتائج الإختبار" dataDxfId="58"/>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D03960-0045-4469-9D61-FE1BA6DD9C19}" name="Table226837132" displayName="Table226837132" ref="A15:G19" insertRowShift="1" totalsRowShown="0" headerRowDxfId="57" dataDxfId="55" headerRowBorderDxfId="56" tableBorderDxfId="54" totalsRowBorderDxfId="53">
  <autoFilter ref="A15:G19" xr:uid="{42EC6AF4-B771-48DE-8F9B-B00D10F4F178}"/>
  <tableColumns count="7">
    <tableColumn id="1" xr3:uid="{A03E2119-707B-450D-86BC-8AEFC2C1D158}" name="رقم" dataDxfId="52"/>
    <tableColumn id="2" xr3:uid="{34464900-1FAF-4922-BC81-836B72A953AF}" name="شروط مسبقة" dataDxfId="51" dataCellStyle="Normal 2"/>
    <tableColumn id="6" xr3:uid="{6CC4010C-E0B7-4C34-AA7E-8C8921A03567}" name="وصف حالة الاختبار " dataDxfId="50" dataCellStyle="Normal 2"/>
    <tableColumn id="8" xr3:uid="{F5740ACC-1310-4BCF-8064-AC4EFCB60277}" name="حالات الاختبار  " dataDxfId="49" dataCellStyle="Normal 2"/>
    <tableColumn id="3" xr3:uid="{7671A3D0-9D59-4551-87F3-090AEA595B4B}" name="النتائج المتوقعة" dataDxfId="48" dataCellStyle="Normal 2"/>
    <tableColumn id="4" xr3:uid="{54B33C9A-1848-402B-AC44-09F42E76FAE1}" name="النتائج الفعلية " dataDxfId="47" dataCellStyle="Normal 2"/>
    <tableColumn id="7" xr3:uid="{80A624AD-9156-4A2A-A164-CFB0215E96BE}" name="نتائج الإختبار" dataDxfId="46"/>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3C78D8"/>
      </a:hlink>
      <a:folHlink>
        <a:srgbClr val="3C78D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D6C4-22CE-493F-907D-6DA49B4E59A6}">
  <sheetPr>
    <outlinePr summaryBelow="0" summaryRight="0"/>
  </sheetPr>
  <dimension ref="A1:R907"/>
  <sheetViews>
    <sheetView rightToLeft="1" tabSelected="1" zoomScale="43" zoomScaleNormal="100" workbookViewId="0">
      <selection activeCell="B20" sqref="B20"/>
    </sheetView>
  </sheetViews>
  <sheetFormatPr defaultColWidth="12.6640625" defaultRowHeight="15.75" customHeight="1"/>
  <cols>
    <col min="1" max="1" width="22.33203125" style="2" customWidth="1"/>
    <col min="2" max="2" width="72.5546875" bestFit="1" customWidth="1"/>
    <col min="3" max="3" width="72.5546875" customWidth="1"/>
    <col min="4" max="4" width="183.33203125" customWidth="1"/>
    <col min="5" max="5" width="61.33203125" customWidth="1"/>
    <col min="6" max="6" width="60.5546875" style="27" bestFit="1" customWidth="1"/>
    <col min="7" max="7" width="60.44140625" bestFit="1" customWidth="1"/>
    <col min="8" max="8" width="54" customWidth="1"/>
    <col min="9" max="16" width="9.109375" bestFit="1" customWidth="1"/>
    <col min="17" max="17" width="14" customWidth="1"/>
    <col min="18" max="18" width="19.88671875" customWidth="1"/>
  </cols>
  <sheetData>
    <row r="1" spans="1:18" ht="15.75" customHeight="1">
      <c r="A1" s="148" t="s">
        <v>0</v>
      </c>
      <c r="B1" s="148"/>
      <c r="C1" s="148"/>
      <c r="D1" s="148"/>
      <c r="E1" s="148"/>
      <c r="F1" s="148"/>
    </row>
    <row r="2" spans="1:18" ht="15.75" customHeight="1">
      <c r="A2" s="148"/>
      <c r="B2" s="148"/>
      <c r="C2" s="148"/>
      <c r="D2" s="148"/>
      <c r="E2" s="148"/>
      <c r="F2" s="148"/>
    </row>
    <row r="3" spans="1:18" ht="15.75" customHeight="1">
      <c r="A3" s="148"/>
      <c r="B3" s="148"/>
      <c r="C3" s="148"/>
      <c r="D3" s="148"/>
      <c r="E3" s="148"/>
      <c r="F3" s="148"/>
    </row>
    <row r="4" spans="1:18" ht="39.6" customHeight="1">
      <c r="A4" s="149"/>
      <c r="B4" s="149"/>
      <c r="C4" s="149"/>
      <c r="D4" s="149"/>
      <c r="E4" s="149"/>
      <c r="F4" s="149"/>
    </row>
    <row r="5" spans="1:18" ht="1.2" customHeight="1">
      <c r="A5" s="3"/>
      <c r="B5" s="4"/>
      <c r="C5" s="4"/>
      <c r="D5" s="4"/>
      <c r="E5" s="4"/>
      <c r="F5" s="25"/>
      <c r="G5" s="4"/>
      <c r="H5" s="4"/>
    </row>
    <row r="6" spans="1:18" ht="22.8">
      <c r="A6" s="3"/>
      <c r="B6" s="4"/>
      <c r="C6" s="4"/>
      <c r="D6" s="110"/>
      <c r="E6" s="110"/>
      <c r="F6" s="25"/>
    </row>
    <row r="7" spans="1:18" ht="22.8">
      <c r="A7" s="3"/>
      <c r="B7" s="4"/>
      <c r="C7" s="4"/>
      <c r="D7" s="110"/>
      <c r="E7" s="110"/>
      <c r="F7" s="25"/>
      <c r="N7" s="7"/>
      <c r="O7" s="7"/>
      <c r="P7" s="7" t="s">
        <v>1</v>
      </c>
      <c r="Q7" s="7">
        <f>COUNTIF(A:H,"ريوف الحربي")</f>
        <v>0</v>
      </c>
      <c r="R7" s="6"/>
    </row>
    <row r="8" spans="1:18" ht="22.8">
      <c r="A8" s="32" t="s">
        <v>2</v>
      </c>
      <c r="B8" s="29" t="s">
        <v>3</v>
      </c>
      <c r="C8" s="110"/>
      <c r="D8" s="110"/>
      <c r="E8" s="110"/>
      <c r="F8" s="25"/>
      <c r="N8" s="7"/>
      <c r="O8" s="7"/>
      <c r="P8" s="7" t="s">
        <v>4</v>
      </c>
      <c r="Q8" s="7">
        <f>COUNTIF(A:H,"ريماز المجنحي")</f>
        <v>0</v>
      </c>
      <c r="R8" s="6"/>
    </row>
    <row r="9" spans="1:18" ht="22.8">
      <c r="A9" s="32" t="s">
        <v>5</v>
      </c>
      <c r="B9" s="29" t="s">
        <v>6</v>
      </c>
      <c r="C9" s="110"/>
      <c r="D9" s="110"/>
      <c r="E9" s="110"/>
      <c r="F9" s="25"/>
      <c r="N9" s="7"/>
      <c r="O9" s="7"/>
      <c r="P9" s="7" t="s">
        <v>7</v>
      </c>
      <c r="Q9" s="7">
        <f>COUNTIF(A:H,"فريق الجودة")</f>
        <v>0</v>
      </c>
      <c r="R9" s="6"/>
    </row>
    <row r="10" spans="1:18" ht="89.25" customHeight="1">
      <c r="A10" s="4"/>
      <c r="B10" s="4"/>
      <c r="C10" s="110"/>
      <c r="D10" s="4"/>
      <c r="E10" s="4"/>
      <c r="F10" s="25"/>
      <c r="N10" s="7" t="s">
        <v>8</v>
      </c>
      <c r="O10" s="7">
        <f>COUNTIF(A:H,"فشل")</f>
        <v>0</v>
      </c>
      <c r="P10" s="7"/>
      <c r="Q10" s="7"/>
      <c r="R10" s="6"/>
    </row>
    <row r="11" spans="1:18" ht="25.2" customHeight="1">
      <c r="A11" s="4"/>
      <c r="B11" s="4"/>
      <c r="C11" s="4"/>
      <c r="D11" s="4"/>
      <c r="E11" s="4"/>
      <c r="F11" s="25"/>
      <c r="O11" s="6"/>
      <c r="P11" s="6"/>
      <c r="Q11" s="6"/>
      <c r="R11" s="6"/>
    </row>
    <row r="12" spans="1:18" ht="13.2">
      <c r="A12" s="4"/>
      <c r="B12" s="4"/>
      <c r="C12" s="4"/>
      <c r="D12" s="4"/>
      <c r="E12" s="4"/>
      <c r="F12" s="25"/>
      <c r="O12" s="6"/>
      <c r="P12" s="6"/>
      <c r="Q12" s="6"/>
      <c r="R12" s="6"/>
    </row>
    <row r="13" spans="1:18" ht="13.2">
      <c r="A13" s="4"/>
      <c r="B13" s="4"/>
      <c r="C13" s="4"/>
      <c r="D13" s="4"/>
      <c r="E13" s="4"/>
      <c r="F13" s="25"/>
      <c r="O13" s="6"/>
      <c r="P13" s="6"/>
      <c r="Q13" s="6"/>
      <c r="R13" s="6"/>
    </row>
    <row r="14" spans="1:18" ht="30" customHeight="1">
      <c r="A14" s="150" t="s">
        <v>9</v>
      </c>
      <c r="B14" s="124" t="s">
        <v>10</v>
      </c>
      <c r="C14" s="152"/>
      <c r="D14" s="152"/>
      <c r="E14" s="152"/>
      <c r="F14" s="153"/>
      <c r="H14" s="1"/>
    </row>
    <row r="15" spans="1:18" ht="30" customHeight="1">
      <c r="A15" s="151"/>
      <c r="B15" s="125" t="s">
        <v>11</v>
      </c>
      <c r="C15" s="152"/>
      <c r="D15" s="152"/>
      <c r="E15" s="152"/>
      <c r="F15" s="154"/>
      <c r="H15" s="1"/>
    </row>
    <row r="16" spans="1:18" ht="30" customHeight="1">
      <c r="A16" s="145" t="s">
        <v>12</v>
      </c>
      <c r="B16" s="146"/>
      <c r="C16" s="146"/>
      <c r="D16" s="146"/>
      <c r="E16" s="146"/>
      <c r="F16" s="147"/>
      <c r="H16" s="1"/>
    </row>
    <row r="17" spans="1:8" ht="30">
      <c r="A17" s="112" t="s">
        <v>13</v>
      </c>
      <c r="B17" s="113" t="s">
        <v>14</v>
      </c>
      <c r="C17" s="113" t="s">
        <v>15</v>
      </c>
      <c r="D17" s="114" t="s">
        <v>16</v>
      </c>
      <c r="E17" s="114" t="s">
        <v>17</v>
      </c>
      <c r="F17" s="114" t="s">
        <v>18</v>
      </c>
      <c r="H17" s="1"/>
    </row>
    <row r="18" spans="1:8" ht="30">
      <c r="A18" s="115"/>
      <c r="B18" s="116" t="s">
        <v>11</v>
      </c>
      <c r="C18" s="116">
        <v>1</v>
      </c>
      <c r="D18" s="117" t="s">
        <v>19</v>
      </c>
      <c r="E18" s="118" t="s">
        <v>20</v>
      </c>
      <c r="F18" s="119" t="s">
        <v>21</v>
      </c>
      <c r="H18" s="1"/>
    </row>
    <row r="19" spans="1:8" ht="30">
      <c r="A19" s="115"/>
      <c r="B19" s="116" t="s">
        <v>22</v>
      </c>
      <c r="C19" s="116">
        <v>1</v>
      </c>
      <c r="D19" s="120" t="s">
        <v>23</v>
      </c>
      <c r="E19" s="118" t="s">
        <v>20</v>
      </c>
      <c r="F19" s="119" t="s">
        <v>24</v>
      </c>
      <c r="H19" s="1"/>
    </row>
    <row r="20" spans="1:8" ht="30">
      <c r="A20" s="115"/>
      <c r="B20" s="116" t="s">
        <v>25</v>
      </c>
      <c r="C20" s="116">
        <v>1</v>
      </c>
      <c r="D20" s="120" t="s">
        <v>23</v>
      </c>
      <c r="E20" s="118" t="s">
        <v>20</v>
      </c>
      <c r="F20" s="119" t="s">
        <v>21</v>
      </c>
      <c r="H20" s="1"/>
    </row>
    <row r="21" spans="1:8" ht="30">
      <c r="A21" s="115"/>
      <c r="B21" s="116" t="s">
        <v>26</v>
      </c>
      <c r="C21" s="116">
        <v>1</v>
      </c>
      <c r="D21" s="120" t="s">
        <v>23</v>
      </c>
      <c r="E21" s="118" t="s">
        <v>20</v>
      </c>
      <c r="F21" s="119" t="s">
        <v>21</v>
      </c>
      <c r="H21" s="1"/>
    </row>
    <row r="22" spans="1:8" ht="30">
      <c r="A22" s="121"/>
      <c r="B22" s="116" t="s">
        <v>27</v>
      </c>
      <c r="C22" s="116">
        <v>1</v>
      </c>
      <c r="D22" s="122" t="s">
        <v>28</v>
      </c>
      <c r="E22" s="118" t="s">
        <v>29</v>
      </c>
      <c r="F22" s="119" t="s">
        <v>21</v>
      </c>
      <c r="H22" s="1"/>
    </row>
    <row r="23" spans="1:8" ht="30">
      <c r="A23" s="121"/>
      <c r="B23" s="116" t="s">
        <v>30</v>
      </c>
      <c r="C23" s="116">
        <v>1</v>
      </c>
      <c r="D23" s="117" t="s">
        <v>19</v>
      </c>
      <c r="E23" s="118" t="s">
        <v>20</v>
      </c>
      <c r="F23" s="119" t="s">
        <v>24</v>
      </c>
      <c r="H23" s="1"/>
    </row>
    <row r="24" spans="1:8" ht="36.6" customHeight="1">
      <c r="A24" s="121"/>
      <c r="B24" s="116" t="s">
        <v>31</v>
      </c>
      <c r="C24" s="116">
        <v>1</v>
      </c>
      <c r="D24" s="122" t="s">
        <v>28</v>
      </c>
      <c r="E24" s="118" t="s">
        <v>32</v>
      </c>
      <c r="F24" s="119" t="s">
        <v>24</v>
      </c>
      <c r="H24" s="1"/>
    </row>
    <row r="25" spans="1:8" ht="45" customHeight="1">
      <c r="A25" s="123"/>
      <c r="B25" s="123"/>
      <c r="C25" s="123"/>
      <c r="D25" s="123"/>
      <c r="E25" s="123"/>
      <c r="F25" s="123"/>
      <c r="H25" s="1"/>
    </row>
    <row r="26" spans="1:8" ht="30" customHeight="1">
      <c r="A26" s="145" t="s">
        <v>33</v>
      </c>
      <c r="B26" s="146"/>
      <c r="C26" s="146"/>
      <c r="D26" s="146"/>
      <c r="E26" s="146"/>
      <c r="F26" s="147"/>
      <c r="H26" s="1"/>
    </row>
    <row r="27" spans="1:8" ht="52.95" customHeight="1">
      <c r="A27" s="112" t="s">
        <v>13</v>
      </c>
      <c r="B27" s="113" t="s">
        <v>14</v>
      </c>
      <c r="C27" s="113" t="s">
        <v>15</v>
      </c>
      <c r="D27" s="113" t="s">
        <v>34</v>
      </c>
      <c r="E27" s="114" t="s">
        <v>35</v>
      </c>
      <c r="F27" s="114" t="s">
        <v>36</v>
      </c>
      <c r="H27" s="1"/>
    </row>
    <row r="28" spans="1:8" ht="30">
      <c r="A28" s="115"/>
      <c r="B28" s="116" t="s">
        <v>22</v>
      </c>
      <c r="C28" s="116">
        <v>1</v>
      </c>
      <c r="D28" s="119" t="s">
        <v>24</v>
      </c>
      <c r="E28" s="119" t="s">
        <v>21</v>
      </c>
      <c r="F28" s="119" t="s">
        <v>24</v>
      </c>
      <c r="H28" s="1"/>
    </row>
    <row r="29" spans="1:8" ht="30">
      <c r="A29" s="115"/>
      <c r="B29" s="116" t="s">
        <v>25</v>
      </c>
      <c r="C29" s="116">
        <v>1</v>
      </c>
      <c r="D29" s="119" t="s">
        <v>21</v>
      </c>
      <c r="E29" s="119" t="s">
        <v>24</v>
      </c>
      <c r="F29" s="119" t="s">
        <v>21</v>
      </c>
      <c r="H29" s="1"/>
    </row>
    <row r="30" spans="1:8" ht="30">
      <c r="A30" s="115"/>
      <c r="B30" s="116" t="s">
        <v>26</v>
      </c>
      <c r="C30" s="116">
        <v>1</v>
      </c>
      <c r="D30" s="119" t="s">
        <v>21</v>
      </c>
      <c r="E30" s="119" t="s">
        <v>21</v>
      </c>
      <c r="F30" s="119" t="s">
        <v>21</v>
      </c>
      <c r="H30" s="1"/>
    </row>
    <row r="31" spans="1:8" ht="30">
      <c r="A31" s="123"/>
      <c r="B31" s="123"/>
      <c r="C31" s="123"/>
      <c r="D31" s="123"/>
      <c r="E31" s="123"/>
      <c r="F31" s="123"/>
      <c r="H31" s="1"/>
    </row>
    <row r="32" spans="1:8" ht="30" customHeight="1">
      <c r="A32" s="145" t="s">
        <v>37</v>
      </c>
      <c r="B32" s="146"/>
      <c r="C32" s="146"/>
      <c r="D32" s="146"/>
      <c r="E32" s="146"/>
      <c r="F32" s="147"/>
      <c r="H32" s="1"/>
    </row>
    <row r="33" spans="1:8" ht="30">
      <c r="A33" s="112" t="s">
        <v>13</v>
      </c>
      <c r="B33" s="113" t="s">
        <v>14</v>
      </c>
      <c r="C33" s="113" t="s">
        <v>15</v>
      </c>
      <c r="D33" s="113" t="s">
        <v>34</v>
      </c>
      <c r="E33" s="114" t="s">
        <v>35</v>
      </c>
      <c r="F33" s="114" t="s">
        <v>36</v>
      </c>
      <c r="H33" s="1"/>
    </row>
    <row r="34" spans="1:8" ht="30">
      <c r="A34" s="115"/>
      <c r="B34" s="116" t="s">
        <v>27</v>
      </c>
      <c r="C34" s="116">
        <v>1</v>
      </c>
      <c r="D34" s="119" t="s">
        <v>21</v>
      </c>
      <c r="E34" s="119" t="s">
        <v>21</v>
      </c>
      <c r="F34" s="119" t="s">
        <v>21</v>
      </c>
      <c r="H34" s="1"/>
    </row>
    <row r="35" spans="1:8" ht="30">
      <c r="A35" s="115"/>
      <c r="B35" s="116" t="s">
        <v>30</v>
      </c>
      <c r="C35" s="116">
        <v>1</v>
      </c>
      <c r="D35" s="119" t="s">
        <v>21</v>
      </c>
      <c r="E35" s="119" t="s">
        <v>21</v>
      </c>
      <c r="F35" s="119" t="s">
        <v>24</v>
      </c>
      <c r="H35" s="1"/>
    </row>
    <row r="36" spans="1:8" ht="49.2" customHeight="1">
      <c r="F36" s="26"/>
      <c r="H36" s="1"/>
    </row>
    <row r="37" spans="1:8" ht="30">
      <c r="F37" s="26"/>
      <c r="H37" s="1"/>
    </row>
    <row r="38" spans="1:8" ht="30">
      <c r="F38" s="26"/>
      <c r="H38" s="1"/>
    </row>
    <row r="39" spans="1:8" ht="30">
      <c r="F39" s="26"/>
      <c r="H39" s="1"/>
    </row>
    <row r="40" spans="1:8" ht="30">
      <c r="F40" s="26"/>
      <c r="H40" s="1"/>
    </row>
    <row r="41" spans="1:8" ht="30">
      <c r="F41" s="26"/>
      <c r="H41" s="1"/>
    </row>
    <row r="42" spans="1:8" ht="30">
      <c r="F42" s="26"/>
      <c r="H42" s="1"/>
    </row>
    <row r="43" spans="1:8" ht="30">
      <c r="F43" s="26"/>
      <c r="H43" s="1"/>
    </row>
    <row r="44" spans="1:8" ht="42.6" customHeight="1">
      <c r="F44" s="26"/>
      <c r="H44" s="1"/>
    </row>
    <row r="45" spans="1:8" ht="30">
      <c r="F45" s="26"/>
      <c r="H45" s="1"/>
    </row>
    <row r="46" spans="1:8" ht="34.200000000000003" customHeight="1">
      <c r="F46" s="26"/>
      <c r="H46" s="1"/>
    </row>
    <row r="47" spans="1:8" ht="45.6" customHeight="1">
      <c r="F47" s="26"/>
      <c r="H47" s="1"/>
    </row>
    <row r="48" spans="1:8" ht="40.950000000000003" customHeight="1">
      <c r="F48" s="26"/>
      <c r="H48" s="1"/>
    </row>
    <row r="49" spans="6:8" ht="42.6" customHeight="1">
      <c r="F49" s="26"/>
      <c r="H49" s="1"/>
    </row>
    <row r="50" spans="6:8" ht="30">
      <c r="F50" s="26"/>
      <c r="H50" s="1"/>
    </row>
    <row r="51" spans="6:8" ht="46.95" customHeight="1">
      <c r="F51" s="26"/>
      <c r="H51" s="1"/>
    </row>
    <row r="52" spans="6:8" ht="43.95" customHeight="1">
      <c r="F52" s="26"/>
      <c r="H52" s="1"/>
    </row>
    <row r="53" spans="6:8" ht="52.95" customHeight="1">
      <c r="F53" s="26"/>
      <c r="H53" s="1"/>
    </row>
    <row r="54" spans="6:8" ht="30">
      <c r="F54" s="26"/>
      <c r="H54" s="1"/>
    </row>
    <row r="55" spans="6:8" ht="30">
      <c r="F55" s="26"/>
      <c r="H55" s="1"/>
    </row>
    <row r="56" spans="6:8" ht="30">
      <c r="F56" s="26"/>
      <c r="H56" s="1"/>
    </row>
    <row r="57" spans="6:8" ht="51" customHeight="1">
      <c r="F57" s="26"/>
      <c r="H57" s="1"/>
    </row>
    <row r="58" spans="6:8" ht="37.950000000000003" customHeight="1">
      <c r="F58" s="26"/>
      <c r="H58" s="1"/>
    </row>
    <row r="59" spans="6:8" ht="30">
      <c r="F59" s="26"/>
      <c r="H59" s="1"/>
    </row>
    <row r="60" spans="6:8" ht="30">
      <c r="F60" s="26"/>
      <c r="H60" s="1"/>
    </row>
    <row r="61" spans="6:8" ht="30">
      <c r="F61" s="26"/>
      <c r="H61" s="1"/>
    </row>
    <row r="62" spans="6:8" ht="30">
      <c r="F62" s="26"/>
      <c r="H62" s="1"/>
    </row>
    <row r="63" spans="6:8" ht="30">
      <c r="F63" s="26"/>
      <c r="H63" s="1"/>
    </row>
    <row r="64" spans="6:8" ht="30">
      <c r="F64" s="26"/>
      <c r="H64" s="1"/>
    </row>
    <row r="65" spans="6:8" ht="30">
      <c r="F65" s="26"/>
      <c r="H65" s="1"/>
    </row>
    <row r="66" spans="6:8" ht="30">
      <c r="F66" s="26"/>
      <c r="H66" s="1"/>
    </row>
    <row r="67" spans="6:8" ht="30">
      <c r="F67" s="26"/>
      <c r="H67" s="1"/>
    </row>
    <row r="68" spans="6:8" ht="30">
      <c r="F68" s="26"/>
      <c r="H68" s="1"/>
    </row>
    <row r="69" spans="6:8" ht="30">
      <c r="F69" s="26"/>
      <c r="H69" s="1"/>
    </row>
    <row r="70" spans="6:8" ht="30">
      <c r="F70" s="26"/>
      <c r="H70" s="1"/>
    </row>
    <row r="71" spans="6:8" ht="30">
      <c r="F71" s="26"/>
      <c r="H71" s="1"/>
    </row>
    <row r="72" spans="6:8" ht="30">
      <c r="F72" s="26"/>
      <c r="H72" s="1"/>
    </row>
    <row r="73" spans="6:8" ht="30">
      <c r="F73" s="26"/>
      <c r="H73" s="1"/>
    </row>
    <row r="74" spans="6:8" ht="30">
      <c r="F74" s="26"/>
      <c r="H74" s="1"/>
    </row>
    <row r="75" spans="6:8" ht="30">
      <c r="F75" s="26"/>
      <c r="H75" s="1"/>
    </row>
    <row r="76" spans="6:8" ht="30">
      <c r="F76" s="26"/>
      <c r="H76" s="1"/>
    </row>
    <row r="77" spans="6:8" ht="30">
      <c r="F77" s="26"/>
      <c r="H77" s="1"/>
    </row>
    <row r="78" spans="6:8" ht="30">
      <c r="F78" s="26"/>
      <c r="H78" s="1"/>
    </row>
    <row r="79" spans="6:8" ht="30">
      <c r="F79" s="26"/>
      <c r="H79" s="1"/>
    </row>
    <row r="80" spans="6:8" ht="30">
      <c r="F80" s="26"/>
      <c r="H80" s="1"/>
    </row>
    <row r="81" spans="6:8" ht="30">
      <c r="F81" s="26"/>
      <c r="H81" s="1"/>
    </row>
    <row r="82" spans="6:8" ht="30">
      <c r="F82" s="26"/>
      <c r="H82" s="1"/>
    </row>
    <row r="83" spans="6:8" ht="30">
      <c r="F83" s="26"/>
      <c r="H83" s="1"/>
    </row>
    <row r="84" spans="6:8" ht="30">
      <c r="F84" s="26"/>
      <c r="H84" s="1"/>
    </row>
    <row r="85" spans="6:8" ht="30">
      <c r="F85" s="26"/>
      <c r="H85" s="1"/>
    </row>
    <row r="86" spans="6:8" ht="30">
      <c r="F86" s="26"/>
      <c r="H86" s="1"/>
    </row>
    <row r="87" spans="6:8" ht="30">
      <c r="F87" s="26"/>
      <c r="H87" s="1"/>
    </row>
    <row r="88" spans="6:8" ht="30">
      <c r="F88" s="26"/>
      <c r="H88" s="1"/>
    </row>
    <row r="89" spans="6:8" ht="30">
      <c r="F89" s="26"/>
      <c r="H89" s="1"/>
    </row>
    <row r="90" spans="6:8" ht="30">
      <c r="F90" s="26"/>
      <c r="H90" s="1"/>
    </row>
    <row r="91" spans="6:8" ht="30">
      <c r="F91" s="26"/>
      <c r="H91" s="1"/>
    </row>
    <row r="92" spans="6:8" ht="30">
      <c r="F92" s="26"/>
      <c r="H92" s="1"/>
    </row>
    <row r="93" spans="6:8" ht="30">
      <c r="F93" s="26"/>
      <c r="H93" s="1"/>
    </row>
    <row r="94" spans="6:8" ht="30">
      <c r="F94" s="26"/>
      <c r="H94" s="1"/>
    </row>
    <row r="95" spans="6:8" ht="30">
      <c r="F95" s="26"/>
      <c r="H95" s="1"/>
    </row>
    <row r="96" spans="6:8" ht="30">
      <c r="F96" s="26"/>
      <c r="H96" s="1"/>
    </row>
    <row r="97" spans="6:8" ht="30">
      <c r="F97" s="26"/>
      <c r="H97" s="1"/>
    </row>
    <row r="98" spans="6:8" ht="30">
      <c r="F98" s="26"/>
      <c r="H98" s="1"/>
    </row>
    <row r="99" spans="6:8" ht="30">
      <c r="F99" s="26"/>
      <c r="H99" s="1"/>
    </row>
    <row r="100" spans="6:8" ht="30">
      <c r="F100" s="26"/>
      <c r="H100" s="1"/>
    </row>
    <row r="101" spans="6:8" ht="30">
      <c r="F101" s="26"/>
      <c r="H101" s="1"/>
    </row>
    <row r="102" spans="6:8" ht="30">
      <c r="F102" s="26"/>
      <c r="H102" s="1"/>
    </row>
    <row r="103" spans="6:8" ht="30">
      <c r="F103" s="26"/>
      <c r="H103" s="1"/>
    </row>
    <row r="104" spans="6:8" ht="30">
      <c r="F104" s="26"/>
      <c r="H104" s="1"/>
    </row>
    <row r="105" spans="6:8" ht="30">
      <c r="F105" s="26"/>
      <c r="H105" s="1"/>
    </row>
    <row r="106" spans="6:8" ht="30">
      <c r="F106" s="26"/>
      <c r="H106" s="1"/>
    </row>
    <row r="107" spans="6:8" ht="30">
      <c r="F107" s="26"/>
      <c r="H107" s="1"/>
    </row>
    <row r="108" spans="6:8" ht="30">
      <c r="F108" s="26"/>
      <c r="H108" s="1"/>
    </row>
    <row r="109" spans="6:8" ht="30">
      <c r="F109" s="26"/>
      <c r="H109" s="1"/>
    </row>
    <row r="110" spans="6:8" ht="30">
      <c r="F110" s="26"/>
      <c r="H110" s="1"/>
    </row>
    <row r="111" spans="6:8" ht="30">
      <c r="F111" s="26"/>
      <c r="H111" s="1"/>
    </row>
    <row r="112" spans="6:8" ht="30">
      <c r="F112" s="26"/>
      <c r="H112" s="1"/>
    </row>
    <row r="113" spans="6:8" ht="30">
      <c r="F113" s="26"/>
      <c r="H113" s="1"/>
    </row>
    <row r="114" spans="6:8" ht="30">
      <c r="F114" s="26"/>
      <c r="H114" s="1"/>
    </row>
    <row r="115" spans="6:8" ht="30">
      <c r="F115" s="26"/>
      <c r="H115" s="1"/>
    </row>
    <row r="116" spans="6:8" ht="30">
      <c r="F116" s="26"/>
      <c r="H116" s="1"/>
    </row>
    <row r="117" spans="6:8" ht="30">
      <c r="F117" s="26"/>
      <c r="H117" s="1"/>
    </row>
    <row r="118" spans="6:8" ht="30">
      <c r="F118" s="26"/>
      <c r="H118" s="1"/>
    </row>
    <row r="119" spans="6:8" ht="30">
      <c r="F119" s="26"/>
      <c r="H119" s="1"/>
    </row>
    <row r="120" spans="6:8" ht="30">
      <c r="F120" s="26"/>
      <c r="H120" s="1"/>
    </row>
    <row r="121" spans="6:8" ht="30">
      <c r="F121" s="26"/>
      <c r="H121" s="1"/>
    </row>
    <row r="122" spans="6:8" ht="30">
      <c r="F122" s="26"/>
      <c r="H122" s="1"/>
    </row>
    <row r="123" spans="6:8" ht="30">
      <c r="F123" s="26"/>
      <c r="H123" s="1"/>
    </row>
    <row r="124" spans="6:8" ht="30">
      <c r="F124" s="26"/>
      <c r="H124" s="1"/>
    </row>
    <row r="125" spans="6:8" ht="30">
      <c r="F125" s="26"/>
      <c r="H125" s="1"/>
    </row>
    <row r="126" spans="6:8" ht="30">
      <c r="F126" s="26"/>
      <c r="H126" s="1"/>
    </row>
    <row r="127" spans="6:8" ht="30">
      <c r="F127" s="26"/>
      <c r="H127" s="1"/>
    </row>
    <row r="128" spans="6:8" ht="30">
      <c r="F128" s="26"/>
      <c r="H128" s="1"/>
    </row>
    <row r="129" spans="6:8" ht="30">
      <c r="F129" s="26"/>
      <c r="H129" s="1"/>
    </row>
    <row r="130" spans="6:8" ht="30">
      <c r="F130" s="26"/>
      <c r="H130" s="1"/>
    </row>
    <row r="131" spans="6:8" ht="30">
      <c r="F131" s="26"/>
      <c r="H131" s="1"/>
    </row>
    <row r="132" spans="6:8" ht="30">
      <c r="F132" s="26"/>
      <c r="H132" s="1"/>
    </row>
    <row r="133" spans="6:8" ht="30">
      <c r="F133" s="26"/>
      <c r="H133" s="1"/>
    </row>
    <row r="134" spans="6:8" ht="30">
      <c r="F134" s="26"/>
      <c r="H134" s="1"/>
    </row>
    <row r="135" spans="6:8" ht="30">
      <c r="F135" s="26"/>
      <c r="H135" s="1"/>
    </row>
    <row r="136" spans="6:8" ht="30">
      <c r="F136" s="26"/>
      <c r="H136" s="1"/>
    </row>
    <row r="137" spans="6:8" ht="30">
      <c r="F137" s="26"/>
      <c r="H137" s="1"/>
    </row>
    <row r="138" spans="6:8" ht="30">
      <c r="F138" s="26"/>
      <c r="H138" s="1"/>
    </row>
    <row r="139" spans="6:8" ht="30">
      <c r="F139" s="26"/>
      <c r="H139" s="1"/>
    </row>
    <row r="140" spans="6:8" ht="30">
      <c r="F140" s="26"/>
      <c r="H140" s="1"/>
    </row>
    <row r="141" spans="6:8" ht="30">
      <c r="F141" s="26"/>
      <c r="H141" s="1"/>
    </row>
    <row r="142" spans="6:8" ht="30">
      <c r="F142" s="26"/>
      <c r="H142" s="1"/>
    </row>
    <row r="143" spans="6:8" ht="30">
      <c r="F143" s="26"/>
      <c r="H143" s="1"/>
    </row>
    <row r="144" spans="6:8" ht="30">
      <c r="F144" s="26"/>
      <c r="H144" s="1"/>
    </row>
    <row r="145" spans="6:8" ht="30">
      <c r="F145" s="26"/>
      <c r="H145" s="1"/>
    </row>
    <row r="146" spans="6:8" ht="30">
      <c r="F146" s="26"/>
      <c r="H146" s="1"/>
    </row>
    <row r="147" spans="6:8" ht="30">
      <c r="F147" s="26"/>
      <c r="H147" s="1"/>
    </row>
    <row r="148" spans="6:8" ht="30">
      <c r="F148" s="26"/>
      <c r="H148" s="1"/>
    </row>
    <row r="149" spans="6:8" ht="30">
      <c r="F149" s="26"/>
      <c r="H149" s="1"/>
    </row>
    <row r="150" spans="6:8" ht="30">
      <c r="F150" s="26"/>
      <c r="H150" s="1"/>
    </row>
    <row r="151" spans="6:8" ht="30">
      <c r="F151" s="26"/>
      <c r="H151" s="1"/>
    </row>
    <row r="152" spans="6:8" ht="30">
      <c r="F152" s="26"/>
      <c r="H152" s="1"/>
    </row>
    <row r="153" spans="6:8" ht="30">
      <c r="F153" s="26"/>
      <c r="H153" s="1"/>
    </row>
    <row r="154" spans="6:8" ht="30">
      <c r="F154" s="26"/>
      <c r="H154" s="1"/>
    </row>
    <row r="155" spans="6:8" ht="30">
      <c r="F155" s="26"/>
      <c r="H155" s="1"/>
    </row>
    <row r="156" spans="6:8" ht="30">
      <c r="F156" s="26"/>
      <c r="H156" s="1"/>
    </row>
    <row r="157" spans="6:8" ht="30">
      <c r="F157" s="26"/>
      <c r="H157" s="1"/>
    </row>
    <row r="158" spans="6:8" ht="30">
      <c r="F158" s="26"/>
      <c r="H158" s="1"/>
    </row>
    <row r="159" spans="6:8" ht="30">
      <c r="F159" s="26"/>
      <c r="H159" s="1"/>
    </row>
    <row r="160" spans="6:8" ht="30">
      <c r="F160" s="26"/>
      <c r="H160" s="1"/>
    </row>
    <row r="161" spans="6:8" ht="30">
      <c r="F161" s="26"/>
      <c r="H161" s="1"/>
    </row>
    <row r="162" spans="6:8" ht="30">
      <c r="F162" s="26"/>
      <c r="H162" s="1"/>
    </row>
    <row r="163" spans="6:8" ht="30">
      <c r="F163" s="26"/>
      <c r="H163" s="1"/>
    </row>
    <row r="164" spans="6:8" ht="30">
      <c r="F164" s="26"/>
      <c r="H164" s="1"/>
    </row>
    <row r="165" spans="6:8" ht="30">
      <c r="F165" s="26"/>
      <c r="H165" s="1"/>
    </row>
    <row r="166" spans="6:8" ht="30">
      <c r="F166" s="26"/>
      <c r="H166" s="1"/>
    </row>
    <row r="167" spans="6:8" ht="30">
      <c r="F167" s="26"/>
      <c r="H167" s="1"/>
    </row>
    <row r="168" spans="6:8" ht="30">
      <c r="F168" s="26"/>
      <c r="H168" s="1"/>
    </row>
    <row r="169" spans="6:8" ht="30">
      <c r="F169" s="26"/>
      <c r="H169" s="1"/>
    </row>
    <row r="170" spans="6:8" ht="30">
      <c r="F170" s="26"/>
      <c r="H170" s="1"/>
    </row>
    <row r="171" spans="6:8" ht="30">
      <c r="F171" s="26"/>
      <c r="H171" s="1"/>
    </row>
    <row r="172" spans="6:8" ht="30">
      <c r="F172" s="26"/>
      <c r="H172" s="1"/>
    </row>
    <row r="173" spans="6:8" ht="30">
      <c r="F173" s="26"/>
      <c r="H173" s="1"/>
    </row>
    <row r="174" spans="6:8" ht="30">
      <c r="F174" s="26"/>
      <c r="H174" s="1"/>
    </row>
    <row r="175" spans="6:8" ht="30">
      <c r="F175" s="26"/>
      <c r="H175" s="1"/>
    </row>
    <row r="176" spans="6:8" ht="30">
      <c r="F176" s="26"/>
      <c r="H176" s="1"/>
    </row>
    <row r="177" spans="6:8" ht="30">
      <c r="F177" s="26"/>
      <c r="H177" s="1"/>
    </row>
    <row r="178" spans="6:8" ht="30">
      <c r="F178" s="26"/>
      <c r="H178" s="1"/>
    </row>
    <row r="179" spans="6:8" ht="30">
      <c r="F179" s="26"/>
      <c r="H179" s="1"/>
    </row>
    <row r="180" spans="6:8" ht="30">
      <c r="F180" s="26"/>
      <c r="H180" s="1"/>
    </row>
    <row r="181" spans="6:8" ht="30">
      <c r="F181" s="26"/>
      <c r="H181" s="1"/>
    </row>
    <row r="182" spans="6:8" ht="30">
      <c r="F182" s="26"/>
      <c r="H182" s="1"/>
    </row>
    <row r="183" spans="6:8" ht="30">
      <c r="F183" s="26"/>
      <c r="H183" s="1"/>
    </row>
    <row r="184" spans="6:8" ht="30">
      <c r="F184" s="26"/>
      <c r="H184" s="1"/>
    </row>
    <row r="185" spans="6:8" ht="30">
      <c r="F185" s="26"/>
      <c r="H185" s="1"/>
    </row>
    <row r="186" spans="6:8" ht="30">
      <c r="F186" s="26"/>
      <c r="H186" s="1"/>
    </row>
    <row r="187" spans="6:8" ht="30">
      <c r="F187" s="26"/>
      <c r="H187" s="1"/>
    </row>
    <row r="188" spans="6:8" ht="30">
      <c r="F188" s="26"/>
      <c r="H188" s="1"/>
    </row>
    <row r="189" spans="6:8" ht="30">
      <c r="F189" s="26"/>
      <c r="H189" s="1"/>
    </row>
    <row r="190" spans="6:8" ht="30">
      <c r="F190" s="26"/>
      <c r="H190" s="1"/>
    </row>
    <row r="191" spans="6:8" ht="30">
      <c r="F191" s="26"/>
      <c r="H191" s="1"/>
    </row>
    <row r="192" spans="6:8" ht="30">
      <c r="F192" s="26"/>
      <c r="H192" s="1"/>
    </row>
    <row r="193" spans="6:8" ht="30">
      <c r="F193" s="26"/>
      <c r="H193" s="1"/>
    </row>
    <row r="194" spans="6:8" ht="30">
      <c r="F194" s="26"/>
      <c r="H194" s="1"/>
    </row>
    <row r="195" spans="6:8" ht="30">
      <c r="F195" s="26"/>
      <c r="H195" s="1"/>
    </row>
    <row r="196" spans="6:8" ht="30">
      <c r="F196" s="26"/>
      <c r="H196" s="1"/>
    </row>
    <row r="197" spans="6:8" ht="30">
      <c r="F197" s="26"/>
      <c r="H197" s="1"/>
    </row>
    <row r="198" spans="6:8" ht="30">
      <c r="F198" s="26"/>
      <c r="H198" s="1"/>
    </row>
    <row r="199" spans="6:8" ht="30">
      <c r="F199" s="26"/>
      <c r="H199" s="1"/>
    </row>
    <row r="200" spans="6:8" ht="30">
      <c r="F200" s="26"/>
      <c r="H200" s="1"/>
    </row>
    <row r="201" spans="6:8" ht="30">
      <c r="F201" s="26"/>
      <c r="H201" s="1"/>
    </row>
    <row r="202" spans="6:8" ht="30">
      <c r="F202" s="26"/>
      <c r="H202" s="1"/>
    </row>
    <row r="203" spans="6:8" ht="30">
      <c r="F203" s="26"/>
      <c r="H203" s="1"/>
    </row>
    <row r="204" spans="6:8" ht="30">
      <c r="F204" s="26"/>
      <c r="H204" s="1"/>
    </row>
    <row r="205" spans="6:8" ht="30">
      <c r="F205" s="26"/>
      <c r="H205" s="1"/>
    </row>
    <row r="206" spans="6:8" ht="30">
      <c r="F206" s="26"/>
      <c r="H206" s="1"/>
    </row>
    <row r="207" spans="6:8" ht="30">
      <c r="F207" s="26"/>
      <c r="H207" s="1"/>
    </row>
    <row r="208" spans="6:8" ht="30">
      <c r="F208" s="26"/>
      <c r="H208" s="1"/>
    </row>
    <row r="209" spans="6:8" ht="30">
      <c r="F209" s="26"/>
      <c r="H209" s="1"/>
    </row>
    <row r="210" spans="6:8" ht="30">
      <c r="F210" s="26"/>
      <c r="H210" s="1"/>
    </row>
    <row r="211" spans="6:8" ht="30">
      <c r="F211" s="26"/>
      <c r="H211" s="1"/>
    </row>
    <row r="212" spans="6:8" ht="30">
      <c r="F212" s="26"/>
      <c r="H212" s="1"/>
    </row>
    <row r="213" spans="6:8" ht="30">
      <c r="F213" s="26"/>
      <c r="H213" s="1"/>
    </row>
    <row r="214" spans="6:8" ht="30">
      <c r="F214" s="26"/>
      <c r="H214" s="1"/>
    </row>
    <row r="215" spans="6:8" ht="30">
      <c r="F215" s="26"/>
      <c r="H215" s="1"/>
    </row>
    <row r="216" spans="6:8" ht="30">
      <c r="F216" s="26"/>
      <c r="H216" s="1"/>
    </row>
    <row r="217" spans="6:8" ht="30">
      <c r="F217" s="26"/>
      <c r="H217" s="1"/>
    </row>
    <row r="218" spans="6:8" ht="30">
      <c r="F218" s="26"/>
      <c r="H218" s="1"/>
    </row>
    <row r="219" spans="6:8" ht="30">
      <c r="F219" s="26"/>
      <c r="H219" s="1"/>
    </row>
    <row r="220" spans="6:8" ht="30">
      <c r="F220" s="26"/>
      <c r="H220" s="1"/>
    </row>
    <row r="221" spans="6:8" ht="30">
      <c r="F221" s="26"/>
      <c r="H221" s="1"/>
    </row>
    <row r="222" spans="6:8" ht="30">
      <c r="F222" s="26"/>
      <c r="H222" s="1"/>
    </row>
    <row r="223" spans="6:8" ht="30">
      <c r="F223" s="26"/>
      <c r="H223" s="1"/>
    </row>
    <row r="224" spans="6:8" ht="30">
      <c r="F224" s="26"/>
      <c r="H224" s="1"/>
    </row>
    <row r="225" spans="6:8" ht="30">
      <c r="F225" s="26"/>
      <c r="H225" s="1"/>
    </row>
    <row r="226" spans="6:8" ht="30">
      <c r="F226" s="26"/>
      <c r="H226" s="1"/>
    </row>
    <row r="227" spans="6:8" ht="30">
      <c r="F227" s="26"/>
      <c r="H227" s="1"/>
    </row>
    <row r="228" spans="6:8" ht="30">
      <c r="F228" s="26"/>
      <c r="H228" s="1"/>
    </row>
    <row r="229" spans="6:8" ht="30">
      <c r="F229" s="26"/>
      <c r="H229" s="1"/>
    </row>
    <row r="230" spans="6:8" ht="30">
      <c r="F230" s="26"/>
      <c r="H230" s="1"/>
    </row>
    <row r="231" spans="6:8" ht="30">
      <c r="F231" s="26"/>
      <c r="H231" s="1"/>
    </row>
    <row r="232" spans="6:8" ht="30">
      <c r="F232" s="26"/>
      <c r="H232" s="1"/>
    </row>
    <row r="233" spans="6:8" ht="30">
      <c r="F233" s="26"/>
      <c r="H233" s="1"/>
    </row>
    <row r="234" spans="6:8" ht="30">
      <c r="F234" s="26"/>
      <c r="H234" s="1"/>
    </row>
    <row r="235" spans="6:8" ht="30">
      <c r="F235" s="26"/>
      <c r="H235" s="1"/>
    </row>
    <row r="236" spans="6:8" ht="30">
      <c r="F236" s="26"/>
      <c r="H236" s="1"/>
    </row>
    <row r="237" spans="6:8" ht="30">
      <c r="F237" s="26"/>
      <c r="H237" s="1"/>
    </row>
    <row r="238" spans="6:8" ht="30">
      <c r="F238" s="26"/>
      <c r="H238" s="1"/>
    </row>
    <row r="239" spans="6:8" ht="30">
      <c r="F239" s="26"/>
      <c r="H239" s="1"/>
    </row>
    <row r="240" spans="6:8" ht="30">
      <c r="F240" s="26"/>
      <c r="H240" s="1"/>
    </row>
    <row r="241" spans="6:8" ht="30">
      <c r="F241" s="26"/>
      <c r="H241" s="1"/>
    </row>
    <row r="242" spans="6:8" ht="30">
      <c r="F242" s="26"/>
      <c r="H242" s="1"/>
    </row>
    <row r="243" spans="6:8" ht="30">
      <c r="F243" s="26"/>
      <c r="H243" s="1"/>
    </row>
    <row r="244" spans="6:8" ht="30">
      <c r="F244" s="26"/>
      <c r="H244" s="1"/>
    </row>
    <row r="245" spans="6:8" ht="30">
      <c r="F245" s="26"/>
      <c r="H245" s="1"/>
    </row>
    <row r="246" spans="6:8" ht="30">
      <c r="F246" s="26"/>
      <c r="H246" s="1"/>
    </row>
    <row r="247" spans="6:8" ht="30">
      <c r="F247" s="26"/>
      <c r="H247" s="1"/>
    </row>
    <row r="248" spans="6:8" ht="30">
      <c r="F248" s="26"/>
      <c r="H248" s="1"/>
    </row>
    <row r="249" spans="6:8" ht="30">
      <c r="F249" s="26"/>
      <c r="H249" s="1"/>
    </row>
    <row r="250" spans="6:8" ht="30">
      <c r="F250" s="26"/>
      <c r="H250" s="1"/>
    </row>
    <row r="251" spans="6:8" ht="30">
      <c r="F251" s="26"/>
      <c r="H251" s="1"/>
    </row>
    <row r="252" spans="6:8" ht="30">
      <c r="F252" s="26"/>
      <c r="H252" s="1"/>
    </row>
    <row r="253" spans="6:8" ht="30">
      <c r="F253" s="26"/>
      <c r="H253" s="1"/>
    </row>
    <row r="254" spans="6:8" ht="30">
      <c r="F254" s="26"/>
      <c r="H254" s="1"/>
    </row>
    <row r="255" spans="6:8" ht="30">
      <c r="F255" s="26"/>
      <c r="H255" s="1"/>
    </row>
    <row r="256" spans="6:8" ht="30">
      <c r="F256" s="26"/>
      <c r="H256" s="1"/>
    </row>
    <row r="257" spans="6:8" ht="30">
      <c r="F257" s="26"/>
      <c r="H257" s="1"/>
    </row>
    <row r="258" spans="6:8" ht="30">
      <c r="F258" s="26"/>
      <c r="H258" s="1"/>
    </row>
    <row r="259" spans="6:8" ht="30">
      <c r="F259" s="26"/>
      <c r="H259" s="1"/>
    </row>
    <row r="260" spans="6:8" ht="30">
      <c r="F260" s="26"/>
      <c r="H260" s="1"/>
    </row>
    <row r="261" spans="6:8" ht="30">
      <c r="F261" s="26"/>
      <c r="H261" s="1"/>
    </row>
    <row r="262" spans="6:8" ht="30">
      <c r="F262" s="26"/>
      <c r="H262" s="1"/>
    </row>
    <row r="263" spans="6:8" ht="30">
      <c r="F263" s="26"/>
      <c r="H263" s="1"/>
    </row>
    <row r="264" spans="6:8" ht="30">
      <c r="F264" s="26"/>
      <c r="H264" s="1"/>
    </row>
    <row r="265" spans="6:8" ht="30">
      <c r="F265" s="26"/>
      <c r="H265" s="1"/>
    </row>
    <row r="266" spans="6:8" ht="30">
      <c r="F266" s="26"/>
      <c r="H266" s="1"/>
    </row>
    <row r="267" spans="6:8" ht="30">
      <c r="F267" s="26"/>
      <c r="H267" s="1"/>
    </row>
    <row r="268" spans="6:8" ht="30">
      <c r="F268" s="26"/>
      <c r="H268" s="1"/>
    </row>
    <row r="269" spans="6:8" ht="30">
      <c r="F269" s="26"/>
      <c r="H269" s="1"/>
    </row>
    <row r="270" spans="6:8" ht="30">
      <c r="F270" s="26"/>
      <c r="H270" s="1"/>
    </row>
    <row r="271" spans="6:8" ht="30">
      <c r="F271" s="26"/>
      <c r="H271" s="1"/>
    </row>
    <row r="272" spans="6:8" ht="30">
      <c r="F272" s="26"/>
      <c r="H272" s="1"/>
    </row>
    <row r="273" spans="6:8" ht="30">
      <c r="F273" s="26"/>
      <c r="H273" s="1"/>
    </row>
    <row r="274" spans="6:8" ht="30">
      <c r="F274" s="26"/>
      <c r="H274" s="1"/>
    </row>
    <row r="275" spans="6:8" ht="30">
      <c r="F275" s="26"/>
      <c r="H275" s="1"/>
    </row>
    <row r="276" spans="6:8" ht="30">
      <c r="F276" s="26"/>
      <c r="H276" s="1"/>
    </row>
    <row r="277" spans="6:8" ht="30">
      <c r="F277" s="26"/>
      <c r="H277" s="1"/>
    </row>
    <row r="278" spans="6:8" ht="30">
      <c r="F278" s="26"/>
      <c r="H278" s="1"/>
    </row>
    <row r="279" spans="6:8" ht="30">
      <c r="F279" s="26"/>
      <c r="H279" s="1"/>
    </row>
    <row r="280" spans="6:8" ht="30">
      <c r="F280" s="26"/>
      <c r="H280" s="1"/>
    </row>
    <row r="281" spans="6:8" ht="30">
      <c r="F281" s="26"/>
      <c r="H281" s="1"/>
    </row>
    <row r="282" spans="6:8" ht="30">
      <c r="F282" s="26"/>
      <c r="H282" s="1"/>
    </row>
    <row r="283" spans="6:8" ht="30">
      <c r="F283" s="26"/>
      <c r="H283" s="1"/>
    </row>
    <row r="284" spans="6:8" ht="30">
      <c r="F284" s="26"/>
      <c r="H284" s="1"/>
    </row>
    <row r="285" spans="6:8" ht="30">
      <c r="F285" s="26"/>
      <c r="H285" s="1"/>
    </row>
    <row r="286" spans="6:8" ht="30">
      <c r="F286" s="26"/>
      <c r="H286" s="1"/>
    </row>
    <row r="287" spans="6:8" ht="30">
      <c r="F287" s="26"/>
      <c r="H287" s="1"/>
    </row>
    <row r="288" spans="6:8" ht="30">
      <c r="F288" s="26"/>
      <c r="H288" s="1"/>
    </row>
    <row r="289" spans="6:8" ht="30">
      <c r="F289" s="26"/>
      <c r="H289" s="1"/>
    </row>
    <row r="290" spans="6:8" ht="30">
      <c r="F290" s="26"/>
      <c r="H290" s="1"/>
    </row>
    <row r="291" spans="6:8" ht="30">
      <c r="F291" s="26"/>
      <c r="H291" s="1"/>
    </row>
    <row r="292" spans="6:8" ht="30">
      <c r="F292" s="26"/>
      <c r="H292" s="1"/>
    </row>
    <row r="293" spans="6:8" ht="30">
      <c r="F293" s="26"/>
      <c r="H293" s="1"/>
    </row>
    <row r="294" spans="6:8" ht="30">
      <c r="F294" s="26"/>
      <c r="H294" s="1"/>
    </row>
    <row r="295" spans="6:8" ht="30">
      <c r="F295" s="26"/>
      <c r="H295" s="1"/>
    </row>
    <row r="296" spans="6:8" ht="30">
      <c r="F296" s="26"/>
      <c r="H296" s="1"/>
    </row>
    <row r="297" spans="6:8" ht="30">
      <c r="F297" s="26"/>
      <c r="H297" s="1"/>
    </row>
    <row r="298" spans="6:8" ht="30">
      <c r="F298" s="26"/>
      <c r="H298" s="1"/>
    </row>
    <row r="299" spans="6:8" ht="30">
      <c r="F299" s="26"/>
      <c r="H299" s="1"/>
    </row>
    <row r="300" spans="6:8" ht="30">
      <c r="F300" s="26"/>
      <c r="H300" s="1"/>
    </row>
    <row r="301" spans="6:8" ht="30">
      <c r="F301" s="26"/>
      <c r="H301" s="1"/>
    </row>
    <row r="302" spans="6:8" ht="30">
      <c r="F302" s="26"/>
      <c r="H302" s="1"/>
    </row>
    <row r="303" spans="6:8" ht="30">
      <c r="F303" s="26"/>
      <c r="H303" s="1"/>
    </row>
    <row r="304" spans="6:8" ht="30">
      <c r="F304" s="26"/>
      <c r="H304" s="1"/>
    </row>
    <row r="305" spans="6:8" ht="30">
      <c r="F305" s="26"/>
      <c r="H305" s="1"/>
    </row>
    <row r="306" spans="6:8" ht="30">
      <c r="F306" s="26"/>
      <c r="H306" s="1"/>
    </row>
    <row r="307" spans="6:8" ht="30">
      <c r="F307" s="26"/>
      <c r="H307" s="1"/>
    </row>
    <row r="308" spans="6:8" ht="30">
      <c r="F308" s="26"/>
      <c r="H308" s="1"/>
    </row>
    <row r="309" spans="6:8" ht="30">
      <c r="F309" s="26"/>
      <c r="H309" s="1"/>
    </row>
    <row r="310" spans="6:8" ht="30">
      <c r="F310" s="26"/>
      <c r="H310" s="1"/>
    </row>
    <row r="311" spans="6:8" ht="30">
      <c r="F311" s="26"/>
      <c r="H311" s="1"/>
    </row>
    <row r="312" spans="6:8" ht="30">
      <c r="F312" s="26"/>
      <c r="H312" s="1"/>
    </row>
    <row r="313" spans="6:8" ht="30">
      <c r="F313" s="26"/>
      <c r="H313" s="1"/>
    </row>
    <row r="314" spans="6:8" ht="30">
      <c r="F314" s="26"/>
      <c r="H314" s="1"/>
    </row>
    <row r="315" spans="6:8" ht="30">
      <c r="F315" s="26"/>
      <c r="H315" s="1"/>
    </row>
    <row r="316" spans="6:8" ht="30">
      <c r="F316" s="26"/>
      <c r="H316" s="1"/>
    </row>
    <row r="317" spans="6:8" ht="30">
      <c r="F317" s="26"/>
      <c r="H317" s="1"/>
    </row>
    <row r="318" spans="6:8" ht="30">
      <c r="F318" s="26"/>
      <c r="H318" s="1"/>
    </row>
    <row r="319" spans="6:8" ht="30">
      <c r="F319" s="26"/>
      <c r="H319" s="1"/>
    </row>
    <row r="320" spans="6:8" ht="30">
      <c r="F320" s="26"/>
      <c r="H320" s="1"/>
    </row>
    <row r="321" spans="6:8" ht="30">
      <c r="F321" s="26"/>
      <c r="H321" s="1"/>
    </row>
    <row r="322" spans="6:8" ht="30">
      <c r="F322" s="26"/>
      <c r="H322" s="1"/>
    </row>
    <row r="323" spans="6:8" ht="30">
      <c r="F323" s="26"/>
      <c r="H323" s="1"/>
    </row>
    <row r="324" spans="6:8" ht="30">
      <c r="F324" s="26"/>
      <c r="H324" s="1"/>
    </row>
    <row r="325" spans="6:8" ht="30">
      <c r="F325" s="26"/>
      <c r="H325" s="1"/>
    </row>
    <row r="326" spans="6:8" ht="30">
      <c r="F326" s="26"/>
      <c r="H326" s="1"/>
    </row>
    <row r="327" spans="6:8" ht="30">
      <c r="F327" s="26"/>
      <c r="H327" s="1"/>
    </row>
    <row r="328" spans="6:8" ht="30">
      <c r="F328" s="26"/>
      <c r="H328" s="1"/>
    </row>
    <row r="329" spans="6:8" ht="30">
      <c r="F329" s="26"/>
      <c r="H329" s="1"/>
    </row>
    <row r="330" spans="6:8" ht="30">
      <c r="F330" s="26"/>
      <c r="H330" s="1"/>
    </row>
    <row r="331" spans="6:8" ht="30">
      <c r="F331" s="26"/>
      <c r="H331" s="1"/>
    </row>
    <row r="332" spans="6:8" ht="30">
      <c r="F332" s="26"/>
      <c r="H332" s="1"/>
    </row>
    <row r="333" spans="6:8" ht="30">
      <c r="F333" s="26"/>
      <c r="H333" s="1"/>
    </row>
    <row r="334" spans="6:8" ht="30">
      <c r="F334" s="26"/>
      <c r="H334" s="1"/>
    </row>
    <row r="335" spans="6:8" ht="30">
      <c r="F335" s="26"/>
      <c r="H335" s="1"/>
    </row>
    <row r="336" spans="6:8" ht="30">
      <c r="F336" s="26"/>
      <c r="H336" s="1"/>
    </row>
    <row r="337" spans="6:8" ht="30">
      <c r="F337" s="26"/>
      <c r="H337" s="1"/>
    </row>
    <row r="338" spans="6:8" ht="30">
      <c r="F338" s="26"/>
      <c r="H338" s="1"/>
    </row>
    <row r="339" spans="6:8" ht="30">
      <c r="F339" s="26"/>
      <c r="H339" s="1"/>
    </row>
    <row r="340" spans="6:8" ht="30">
      <c r="F340" s="26"/>
      <c r="H340" s="1"/>
    </row>
    <row r="341" spans="6:8" ht="30">
      <c r="F341" s="26"/>
      <c r="H341" s="1"/>
    </row>
    <row r="342" spans="6:8" ht="30">
      <c r="F342" s="26"/>
      <c r="H342" s="1"/>
    </row>
    <row r="343" spans="6:8" ht="30">
      <c r="F343" s="26"/>
      <c r="H343" s="1"/>
    </row>
    <row r="344" spans="6:8" ht="30">
      <c r="F344" s="26"/>
      <c r="H344" s="1"/>
    </row>
    <row r="345" spans="6:8" ht="30">
      <c r="F345" s="26"/>
      <c r="H345" s="1"/>
    </row>
    <row r="346" spans="6:8" ht="30">
      <c r="F346" s="26"/>
      <c r="H346" s="1"/>
    </row>
    <row r="347" spans="6:8" ht="30">
      <c r="F347" s="26"/>
      <c r="H347" s="1"/>
    </row>
    <row r="348" spans="6:8" ht="30">
      <c r="F348" s="26"/>
      <c r="H348" s="1"/>
    </row>
    <row r="349" spans="6:8" ht="30">
      <c r="F349" s="26"/>
      <c r="H349" s="1"/>
    </row>
    <row r="350" spans="6:8" ht="30">
      <c r="F350" s="26"/>
      <c r="H350" s="1"/>
    </row>
    <row r="351" spans="6:8" ht="30">
      <c r="F351" s="26"/>
      <c r="H351" s="1"/>
    </row>
    <row r="352" spans="6:8" ht="30">
      <c r="F352" s="26"/>
      <c r="H352" s="1"/>
    </row>
    <row r="353" spans="6:8" ht="30">
      <c r="F353" s="26"/>
      <c r="H353" s="1"/>
    </row>
    <row r="354" spans="6:8" ht="30">
      <c r="F354" s="26"/>
      <c r="H354" s="1"/>
    </row>
    <row r="355" spans="6:8" ht="30">
      <c r="F355" s="26"/>
      <c r="H355" s="1"/>
    </row>
    <row r="356" spans="6:8" ht="30">
      <c r="F356" s="26"/>
      <c r="H356" s="1"/>
    </row>
    <row r="357" spans="6:8" ht="30">
      <c r="F357" s="26"/>
      <c r="H357" s="1"/>
    </row>
    <row r="358" spans="6:8" ht="30">
      <c r="F358" s="26"/>
      <c r="H358" s="1"/>
    </row>
    <row r="359" spans="6:8" ht="30">
      <c r="F359" s="26"/>
      <c r="H359" s="1"/>
    </row>
    <row r="360" spans="6:8" ht="30">
      <c r="F360" s="26"/>
      <c r="H360" s="1"/>
    </row>
    <row r="361" spans="6:8" ht="30">
      <c r="F361" s="26"/>
      <c r="H361" s="1"/>
    </row>
    <row r="362" spans="6:8" ht="30">
      <c r="F362" s="26"/>
      <c r="H362" s="1"/>
    </row>
    <row r="363" spans="6:8" ht="30">
      <c r="F363" s="26"/>
      <c r="H363" s="1"/>
    </row>
    <row r="364" spans="6:8" ht="30">
      <c r="F364" s="26"/>
      <c r="H364" s="1"/>
    </row>
    <row r="365" spans="6:8" ht="30">
      <c r="F365" s="26"/>
      <c r="H365" s="1"/>
    </row>
    <row r="366" spans="6:8" ht="30">
      <c r="F366" s="26"/>
      <c r="H366" s="1"/>
    </row>
    <row r="367" spans="6:8" ht="30">
      <c r="F367" s="26"/>
      <c r="H367" s="1"/>
    </row>
    <row r="368" spans="6:8" ht="30">
      <c r="F368" s="26"/>
      <c r="H368" s="1"/>
    </row>
    <row r="369" spans="6:8" ht="30">
      <c r="F369" s="26"/>
      <c r="H369" s="1"/>
    </row>
    <row r="370" spans="6:8" ht="30">
      <c r="F370" s="26"/>
      <c r="H370" s="1"/>
    </row>
    <row r="371" spans="6:8" ht="30">
      <c r="F371" s="26"/>
      <c r="H371" s="1"/>
    </row>
    <row r="372" spans="6:8" ht="30">
      <c r="F372" s="26"/>
      <c r="H372" s="1"/>
    </row>
    <row r="373" spans="6:8" ht="30">
      <c r="F373" s="26"/>
      <c r="H373" s="1"/>
    </row>
    <row r="374" spans="6:8" ht="30">
      <c r="F374" s="26"/>
      <c r="H374" s="1"/>
    </row>
    <row r="375" spans="6:8" ht="30">
      <c r="F375" s="26"/>
      <c r="H375" s="1"/>
    </row>
    <row r="376" spans="6:8" ht="30">
      <c r="F376" s="26"/>
      <c r="H376" s="1"/>
    </row>
    <row r="377" spans="6:8" ht="30">
      <c r="F377" s="26"/>
      <c r="H377" s="1"/>
    </row>
    <row r="378" spans="6:8" ht="30">
      <c r="F378" s="26"/>
      <c r="H378" s="1"/>
    </row>
    <row r="379" spans="6:8" ht="30">
      <c r="F379" s="26"/>
      <c r="H379" s="1"/>
    </row>
    <row r="380" spans="6:8" ht="30">
      <c r="F380" s="26"/>
      <c r="H380" s="1"/>
    </row>
    <row r="381" spans="6:8" ht="30">
      <c r="F381" s="26"/>
      <c r="H381" s="1"/>
    </row>
    <row r="382" spans="6:8" ht="30">
      <c r="F382" s="26"/>
      <c r="H382" s="1"/>
    </row>
    <row r="383" spans="6:8" ht="30">
      <c r="F383" s="26"/>
      <c r="H383" s="1"/>
    </row>
    <row r="384" spans="6:8" ht="30">
      <c r="F384" s="26"/>
      <c r="H384" s="1"/>
    </row>
    <row r="385" spans="6:8" ht="30">
      <c r="F385" s="26"/>
      <c r="H385" s="1"/>
    </row>
    <row r="386" spans="6:8" ht="30">
      <c r="F386" s="26"/>
      <c r="H386" s="1"/>
    </row>
    <row r="387" spans="6:8" ht="30">
      <c r="F387" s="26"/>
      <c r="H387" s="1"/>
    </row>
    <row r="388" spans="6:8" ht="30">
      <c r="F388" s="26"/>
      <c r="H388" s="1"/>
    </row>
    <row r="389" spans="6:8" ht="30">
      <c r="F389" s="26"/>
      <c r="H389" s="1"/>
    </row>
    <row r="390" spans="6:8" ht="30">
      <c r="F390" s="26"/>
      <c r="H390" s="1"/>
    </row>
    <row r="391" spans="6:8" ht="30">
      <c r="F391" s="26"/>
      <c r="H391" s="1"/>
    </row>
    <row r="392" spans="6:8" ht="30">
      <c r="F392" s="26"/>
      <c r="H392" s="1"/>
    </row>
    <row r="393" spans="6:8" ht="30">
      <c r="F393" s="26"/>
      <c r="H393" s="1"/>
    </row>
    <row r="394" spans="6:8" ht="30">
      <c r="F394" s="26"/>
      <c r="H394" s="1"/>
    </row>
    <row r="395" spans="6:8" ht="30">
      <c r="F395" s="26"/>
      <c r="H395" s="1"/>
    </row>
    <row r="396" spans="6:8" ht="30">
      <c r="F396" s="26"/>
      <c r="H396" s="1"/>
    </row>
    <row r="397" spans="6:8" ht="30">
      <c r="F397" s="26"/>
      <c r="H397" s="1"/>
    </row>
    <row r="398" spans="6:8" ht="30">
      <c r="F398" s="26"/>
      <c r="H398" s="1"/>
    </row>
    <row r="399" spans="6:8" ht="30">
      <c r="F399" s="26"/>
      <c r="H399" s="1"/>
    </row>
    <row r="400" spans="6:8" ht="30">
      <c r="F400" s="26"/>
      <c r="H400" s="1"/>
    </row>
    <row r="401" spans="6:8" ht="30">
      <c r="F401" s="26"/>
      <c r="H401" s="1"/>
    </row>
    <row r="402" spans="6:8" ht="30">
      <c r="F402" s="26"/>
      <c r="H402" s="1"/>
    </row>
    <row r="403" spans="6:8" ht="30">
      <c r="F403" s="26"/>
      <c r="H403" s="1"/>
    </row>
    <row r="404" spans="6:8" ht="30">
      <c r="F404" s="26"/>
      <c r="H404" s="1"/>
    </row>
    <row r="405" spans="6:8" ht="30">
      <c r="F405" s="26"/>
      <c r="H405" s="1"/>
    </row>
    <row r="406" spans="6:8" ht="30">
      <c r="F406" s="26"/>
      <c r="H406" s="1"/>
    </row>
    <row r="407" spans="6:8" ht="30">
      <c r="F407" s="26"/>
      <c r="H407" s="1"/>
    </row>
    <row r="408" spans="6:8" ht="30">
      <c r="F408" s="26"/>
      <c r="H408" s="1"/>
    </row>
    <row r="409" spans="6:8" ht="30">
      <c r="F409" s="26"/>
      <c r="H409" s="1"/>
    </row>
    <row r="410" spans="6:8" ht="30">
      <c r="F410" s="26"/>
      <c r="H410" s="1"/>
    </row>
    <row r="411" spans="6:8" ht="30">
      <c r="F411" s="26"/>
      <c r="H411" s="1"/>
    </row>
    <row r="412" spans="6:8" ht="30">
      <c r="F412" s="26"/>
      <c r="H412" s="1"/>
    </row>
    <row r="413" spans="6:8" ht="30">
      <c r="F413" s="26"/>
      <c r="H413" s="1"/>
    </row>
    <row r="414" spans="6:8" ht="30">
      <c r="F414" s="26"/>
      <c r="H414" s="1"/>
    </row>
    <row r="415" spans="6:8" ht="30">
      <c r="F415" s="26"/>
      <c r="H415" s="1"/>
    </row>
    <row r="416" spans="6:8" ht="30">
      <c r="F416" s="26"/>
      <c r="H416" s="1"/>
    </row>
    <row r="417" spans="6:8" ht="30">
      <c r="F417" s="26"/>
      <c r="H417" s="1"/>
    </row>
    <row r="418" spans="6:8" ht="30">
      <c r="F418" s="26"/>
      <c r="H418" s="1"/>
    </row>
    <row r="419" spans="6:8" ht="30">
      <c r="F419" s="26"/>
      <c r="H419" s="1"/>
    </row>
    <row r="420" spans="6:8" ht="30">
      <c r="F420" s="26"/>
      <c r="H420" s="1"/>
    </row>
    <row r="421" spans="6:8" ht="30">
      <c r="F421" s="26"/>
      <c r="H421" s="1"/>
    </row>
    <row r="422" spans="6:8" ht="30">
      <c r="F422" s="26"/>
      <c r="H422" s="1"/>
    </row>
    <row r="423" spans="6:8" ht="30">
      <c r="F423" s="26"/>
      <c r="H423" s="1"/>
    </row>
    <row r="424" spans="6:8" ht="30">
      <c r="F424" s="26"/>
      <c r="H424" s="1"/>
    </row>
    <row r="425" spans="6:8" ht="30">
      <c r="F425" s="26"/>
      <c r="H425" s="1"/>
    </row>
    <row r="426" spans="6:8" ht="30">
      <c r="F426" s="26"/>
      <c r="H426" s="1"/>
    </row>
    <row r="427" spans="6:8" ht="30">
      <c r="F427" s="26"/>
      <c r="H427" s="1"/>
    </row>
    <row r="428" spans="6:8" ht="30">
      <c r="F428" s="26"/>
      <c r="H428" s="1"/>
    </row>
    <row r="429" spans="6:8" ht="30">
      <c r="F429" s="26"/>
      <c r="H429" s="1"/>
    </row>
    <row r="430" spans="6:8" ht="30">
      <c r="F430" s="26"/>
      <c r="H430" s="1"/>
    </row>
    <row r="431" spans="6:8" ht="30">
      <c r="F431" s="26"/>
      <c r="H431" s="1"/>
    </row>
    <row r="432" spans="6:8" ht="30">
      <c r="F432" s="26"/>
      <c r="H432" s="1"/>
    </row>
    <row r="433" spans="6:8" ht="30">
      <c r="F433" s="26"/>
      <c r="H433" s="1"/>
    </row>
    <row r="434" spans="6:8" ht="30">
      <c r="F434" s="26"/>
      <c r="H434" s="1"/>
    </row>
    <row r="435" spans="6:8" ht="30">
      <c r="F435" s="26"/>
      <c r="H435" s="1"/>
    </row>
    <row r="436" spans="6:8" ht="30">
      <c r="F436" s="26"/>
      <c r="H436" s="1"/>
    </row>
    <row r="437" spans="6:8" ht="30">
      <c r="F437" s="26"/>
      <c r="H437" s="1"/>
    </row>
    <row r="438" spans="6:8" ht="30">
      <c r="F438" s="26"/>
      <c r="H438" s="1"/>
    </row>
    <row r="439" spans="6:8" ht="30">
      <c r="F439" s="26"/>
      <c r="H439" s="1"/>
    </row>
    <row r="440" spans="6:8" ht="30">
      <c r="F440" s="26"/>
      <c r="H440" s="1"/>
    </row>
    <row r="441" spans="6:8" ht="30">
      <c r="F441" s="26"/>
      <c r="H441" s="1"/>
    </row>
    <row r="442" spans="6:8" ht="30">
      <c r="F442" s="26"/>
      <c r="H442" s="1"/>
    </row>
    <row r="443" spans="6:8" ht="30">
      <c r="F443" s="26"/>
      <c r="H443" s="1"/>
    </row>
    <row r="444" spans="6:8" ht="30">
      <c r="F444" s="26"/>
      <c r="H444" s="1"/>
    </row>
    <row r="445" spans="6:8" ht="30">
      <c r="F445" s="26"/>
      <c r="H445" s="1"/>
    </row>
    <row r="446" spans="6:8" ht="30">
      <c r="F446" s="26"/>
      <c r="H446" s="1"/>
    </row>
    <row r="447" spans="6:8" ht="30">
      <c r="F447" s="26"/>
      <c r="H447" s="1"/>
    </row>
    <row r="448" spans="6:8" ht="30">
      <c r="F448" s="26"/>
      <c r="H448" s="1"/>
    </row>
    <row r="449" spans="6:8" ht="30">
      <c r="F449" s="26"/>
      <c r="H449" s="1"/>
    </row>
    <row r="450" spans="6:8" ht="30">
      <c r="F450" s="26"/>
      <c r="H450" s="1"/>
    </row>
    <row r="451" spans="6:8" ht="30">
      <c r="F451" s="26"/>
      <c r="H451" s="1"/>
    </row>
    <row r="452" spans="6:8" ht="30">
      <c r="F452" s="26"/>
      <c r="H452" s="1"/>
    </row>
    <row r="453" spans="6:8" ht="30">
      <c r="F453" s="26"/>
      <c r="H453" s="1"/>
    </row>
    <row r="454" spans="6:8" ht="30">
      <c r="F454" s="26"/>
      <c r="H454" s="1"/>
    </row>
    <row r="455" spans="6:8" ht="30">
      <c r="F455" s="26"/>
      <c r="H455" s="1"/>
    </row>
    <row r="456" spans="6:8" ht="30">
      <c r="F456" s="26"/>
      <c r="H456" s="1"/>
    </row>
    <row r="457" spans="6:8" ht="30">
      <c r="F457" s="26"/>
      <c r="H457" s="1"/>
    </row>
    <row r="458" spans="6:8" ht="30">
      <c r="F458" s="26"/>
      <c r="H458" s="1"/>
    </row>
    <row r="459" spans="6:8" ht="30">
      <c r="F459" s="26"/>
      <c r="H459" s="1"/>
    </row>
    <row r="460" spans="6:8" ht="30">
      <c r="F460" s="26"/>
      <c r="H460" s="1"/>
    </row>
    <row r="461" spans="6:8" ht="30">
      <c r="F461" s="26"/>
      <c r="H461" s="1"/>
    </row>
    <row r="462" spans="6:8" ht="30">
      <c r="F462" s="26"/>
      <c r="H462" s="1"/>
    </row>
    <row r="463" spans="6:8" ht="30">
      <c r="F463" s="26"/>
      <c r="H463" s="1"/>
    </row>
    <row r="464" spans="6:8" ht="30">
      <c r="F464" s="26"/>
      <c r="H464" s="1"/>
    </row>
    <row r="465" spans="6:8" ht="30">
      <c r="F465" s="26"/>
      <c r="H465" s="1"/>
    </row>
    <row r="466" spans="6:8" ht="30">
      <c r="F466" s="26"/>
      <c r="H466" s="1"/>
    </row>
    <row r="467" spans="6:8" ht="30">
      <c r="F467" s="26"/>
      <c r="H467" s="1"/>
    </row>
    <row r="468" spans="6:8" ht="30">
      <c r="F468" s="26"/>
      <c r="H468" s="1"/>
    </row>
    <row r="469" spans="6:8" ht="30">
      <c r="F469" s="26"/>
      <c r="H469" s="1"/>
    </row>
    <row r="470" spans="6:8" ht="30">
      <c r="F470" s="26"/>
      <c r="H470" s="1"/>
    </row>
    <row r="471" spans="6:8" ht="30">
      <c r="F471" s="26"/>
      <c r="H471" s="1"/>
    </row>
    <row r="472" spans="6:8" ht="30">
      <c r="F472" s="26"/>
      <c r="H472" s="1"/>
    </row>
    <row r="473" spans="6:8" ht="30">
      <c r="F473" s="26"/>
      <c r="H473" s="1"/>
    </row>
    <row r="474" spans="6:8" ht="30">
      <c r="F474" s="26"/>
      <c r="H474" s="1"/>
    </row>
    <row r="475" spans="6:8" ht="30">
      <c r="F475" s="26"/>
      <c r="H475" s="1"/>
    </row>
    <row r="476" spans="6:8" ht="30">
      <c r="F476" s="26"/>
      <c r="H476" s="1"/>
    </row>
    <row r="477" spans="6:8" ht="30">
      <c r="F477" s="26"/>
      <c r="H477" s="1"/>
    </row>
    <row r="478" spans="6:8" ht="30">
      <c r="F478" s="26"/>
      <c r="H478" s="1"/>
    </row>
    <row r="479" spans="6:8" ht="30">
      <c r="F479" s="26"/>
      <c r="H479" s="1"/>
    </row>
    <row r="480" spans="6:8" ht="30">
      <c r="F480" s="26"/>
      <c r="H480" s="1"/>
    </row>
    <row r="481" spans="6:8" ht="30">
      <c r="F481" s="26"/>
      <c r="H481" s="1"/>
    </row>
    <row r="482" spans="6:8" ht="30">
      <c r="F482" s="26"/>
      <c r="H482" s="1"/>
    </row>
    <row r="483" spans="6:8" ht="30">
      <c r="F483" s="26"/>
      <c r="H483" s="1"/>
    </row>
    <row r="484" spans="6:8" ht="30">
      <c r="F484" s="26"/>
      <c r="H484" s="1"/>
    </row>
    <row r="485" spans="6:8" ht="30">
      <c r="F485" s="26"/>
      <c r="H485" s="1"/>
    </row>
    <row r="486" spans="6:8" ht="30">
      <c r="F486" s="26"/>
      <c r="H486" s="1"/>
    </row>
    <row r="487" spans="6:8" ht="30">
      <c r="F487" s="26"/>
      <c r="H487" s="1"/>
    </row>
    <row r="488" spans="6:8" ht="30">
      <c r="F488" s="26"/>
      <c r="H488" s="1"/>
    </row>
    <row r="489" spans="6:8" ht="30">
      <c r="F489" s="26"/>
      <c r="H489" s="1"/>
    </row>
    <row r="490" spans="6:8" ht="30">
      <c r="F490" s="26"/>
      <c r="H490" s="1"/>
    </row>
    <row r="491" spans="6:8" ht="30">
      <c r="F491" s="26"/>
      <c r="H491" s="1"/>
    </row>
    <row r="492" spans="6:8" ht="30">
      <c r="F492" s="26"/>
      <c r="H492" s="1"/>
    </row>
    <row r="493" spans="6:8" ht="30">
      <c r="F493" s="26"/>
      <c r="H493" s="1"/>
    </row>
    <row r="494" spans="6:8" ht="30">
      <c r="F494" s="26"/>
      <c r="H494" s="1"/>
    </row>
    <row r="495" spans="6:8" ht="30">
      <c r="F495" s="26"/>
      <c r="H495" s="1"/>
    </row>
    <row r="496" spans="6:8" ht="30">
      <c r="F496" s="26"/>
      <c r="H496" s="1"/>
    </row>
    <row r="497" spans="6:8" ht="30">
      <c r="F497" s="26"/>
      <c r="H497" s="1"/>
    </row>
    <row r="498" spans="6:8" ht="30">
      <c r="F498" s="26"/>
      <c r="H498" s="1"/>
    </row>
    <row r="499" spans="6:8" ht="30">
      <c r="F499" s="26"/>
      <c r="H499" s="1"/>
    </row>
    <row r="500" spans="6:8" ht="30">
      <c r="F500" s="26"/>
      <c r="H500" s="1"/>
    </row>
    <row r="501" spans="6:8" ht="30">
      <c r="F501" s="26"/>
      <c r="H501" s="1"/>
    </row>
    <row r="502" spans="6:8" ht="30">
      <c r="F502" s="26"/>
      <c r="H502" s="1"/>
    </row>
    <row r="503" spans="6:8" ht="30">
      <c r="F503" s="26"/>
      <c r="H503" s="1"/>
    </row>
    <row r="504" spans="6:8" ht="30">
      <c r="F504" s="26"/>
      <c r="H504" s="1"/>
    </row>
    <row r="505" spans="6:8" ht="30">
      <c r="F505" s="26"/>
      <c r="H505" s="1"/>
    </row>
    <row r="506" spans="6:8" ht="30">
      <c r="F506" s="26"/>
      <c r="H506" s="1"/>
    </row>
    <row r="507" spans="6:8" ht="30">
      <c r="F507" s="26"/>
      <c r="H507" s="1"/>
    </row>
    <row r="508" spans="6:8" ht="30">
      <c r="F508" s="26"/>
      <c r="H508" s="1"/>
    </row>
    <row r="509" spans="6:8" ht="30">
      <c r="F509" s="26"/>
      <c r="H509" s="1"/>
    </row>
    <row r="510" spans="6:8" ht="30">
      <c r="F510" s="26"/>
      <c r="H510" s="1"/>
    </row>
    <row r="511" spans="6:8" ht="30">
      <c r="F511" s="26"/>
      <c r="H511" s="1"/>
    </row>
    <row r="512" spans="6:8" ht="30">
      <c r="F512" s="26"/>
      <c r="H512" s="1"/>
    </row>
    <row r="513" spans="6:8" ht="30">
      <c r="F513" s="26"/>
      <c r="H513" s="1"/>
    </row>
    <row r="514" spans="6:8" ht="30">
      <c r="F514" s="26"/>
      <c r="H514" s="1"/>
    </row>
    <row r="515" spans="6:8" ht="30">
      <c r="F515" s="26"/>
      <c r="H515" s="1"/>
    </row>
    <row r="516" spans="6:8" ht="30">
      <c r="F516" s="26"/>
      <c r="H516" s="1"/>
    </row>
    <row r="517" spans="6:8" ht="30">
      <c r="F517" s="26"/>
      <c r="H517" s="1"/>
    </row>
    <row r="518" spans="6:8" ht="30">
      <c r="F518" s="26"/>
      <c r="H518" s="1"/>
    </row>
    <row r="519" spans="6:8" ht="30">
      <c r="F519" s="26"/>
      <c r="H519" s="1"/>
    </row>
    <row r="520" spans="6:8" ht="30">
      <c r="F520" s="26"/>
      <c r="H520" s="1"/>
    </row>
    <row r="521" spans="6:8" ht="30">
      <c r="F521" s="26"/>
      <c r="H521" s="1"/>
    </row>
    <row r="522" spans="6:8" ht="30">
      <c r="F522" s="26"/>
      <c r="H522" s="1"/>
    </row>
    <row r="523" spans="6:8" ht="30">
      <c r="F523" s="26"/>
      <c r="H523" s="1"/>
    </row>
    <row r="524" spans="6:8" ht="30">
      <c r="F524" s="26"/>
      <c r="H524" s="1"/>
    </row>
    <row r="525" spans="6:8" ht="30">
      <c r="F525" s="26"/>
      <c r="H525" s="1"/>
    </row>
    <row r="526" spans="6:8" ht="30">
      <c r="F526" s="26"/>
      <c r="H526" s="1"/>
    </row>
    <row r="527" spans="6:8" ht="30">
      <c r="F527" s="26"/>
      <c r="H527" s="1"/>
    </row>
    <row r="528" spans="6:8" ht="30">
      <c r="F528" s="26"/>
      <c r="H528" s="1"/>
    </row>
    <row r="529" spans="6:8" ht="30">
      <c r="F529" s="26"/>
      <c r="H529" s="1"/>
    </row>
    <row r="530" spans="6:8" ht="30">
      <c r="F530" s="26"/>
      <c r="H530" s="1"/>
    </row>
    <row r="531" spans="6:8" ht="30">
      <c r="F531" s="26"/>
      <c r="H531" s="1"/>
    </row>
    <row r="532" spans="6:8" ht="30">
      <c r="F532" s="26"/>
      <c r="H532" s="1"/>
    </row>
    <row r="533" spans="6:8" ht="30">
      <c r="F533" s="26"/>
      <c r="H533" s="1"/>
    </row>
    <row r="534" spans="6:8" ht="30">
      <c r="F534" s="26"/>
      <c r="H534" s="1"/>
    </row>
    <row r="535" spans="6:8" ht="30">
      <c r="F535" s="26"/>
      <c r="H535" s="1"/>
    </row>
    <row r="536" spans="6:8" ht="30">
      <c r="F536" s="26"/>
      <c r="H536" s="1"/>
    </row>
    <row r="537" spans="6:8" ht="30">
      <c r="F537" s="26"/>
      <c r="H537" s="1"/>
    </row>
    <row r="538" spans="6:8" ht="30">
      <c r="F538" s="26"/>
      <c r="H538" s="1"/>
    </row>
    <row r="539" spans="6:8" ht="30">
      <c r="F539" s="26"/>
      <c r="H539" s="1"/>
    </row>
    <row r="540" spans="6:8" ht="30">
      <c r="F540" s="26"/>
      <c r="H540" s="1"/>
    </row>
    <row r="541" spans="6:8" ht="30">
      <c r="F541" s="26"/>
      <c r="H541" s="1"/>
    </row>
    <row r="542" spans="6:8" ht="30">
      <c r="F542" s="26"/>
      <c r="H542" s="1"/>
    </row>
    <row r="543" spans="6:8" ht="30">
      <c r="F543" s="26"/>
      <c r="H543" s="1"/>
    </row>
    <row r="544" spans="6:8" ht="30">
      <c r="F544" s="26"/>
      <c r="H544" s="1"/>
    </row>
    <row r="545" spans="6:8" ht="30">
      <c r="F545" s="26"/>
      <c r="H545" s="1"/>
    </row>
    <row r="546" spans="6:8" ht="30">
      <c r="F546" s="26"/>
      <c r="H546" s="1"/>
    </row>
    <row r="547" spans="6:8" ht="30">
      <c r="F547" s="26"/>
      <c r="H547" s="1"/>
    </row>
    <row r="548" spans="6:8" ht="30">
      <c r="F548" s="26"/>
      <c r="H548" s="1"/>
    </row>
    <row r="549" spans="6:8" ht="30">
      <c r="F549" s="26"/>
      <c r="H549" s="1"/>
    </row>
    <row r="550" spans="6:8" ht="30">
      <c r="F550" s="26"/>
      <c r="H550" s="1"/>
    </row>
    <row r="551" spans="6:8" ht="30">
      <c r="F551" s="26"/>
      <c r="H551" s="1"/>
    </row>
    <row r="552" spans="6:8" ht="30">
      <c r="F552" s="26"/>
      <c r="H552" s="1"/>
    </row>
    <row r="553" spans="6:8" ht="30">
      <c r="F553" s="26"/>
      <c r="H553" s="1"/>
    </row>
    <row r="554" spans="6:8" ht="30">
      <c r="F554" s="26"/>
      <c r="H554" s="1"/>
    </row>
    <row r="555" spans="6:8" ht="30">
      <c r="F555" s="26"/>
      <c r="H555" s="1"/>
    </row>
    <row r="556" spans="6:8" ht="30">
      <c r="F556" s="26"/>
      <c r="H556" s="1"/>
    </row>
    <row r="557" spans="6:8" ht="30">
      <c r="F557" s="26"/>
      <c r="H557" s="1"/>
    </row>
    <row r="558" spans="6:8" ht="30">
      <c r="F558" s="26"/>
      <c r="H558" s="1"/>
    </row>
    <row r="559" spans="6:8" ht="30">
      <c r="F559" s="26"/>
      <c r="H559" s="1"/>
    </row>
    <row r="560" spans="6:8" ht="30">
      <c r="F560" s="26"/>
      <c r="H560" s="1"/>
    </row>
    <row r="561" spans="6:8" ht="30">
      <c r="F561" s="26"/>
      <c r="H561" s="1"/>
    </row>
    <row r="562" spans="6:8" ht="30">
      <c r="F562" s="26"/>
      <c r="H562" s="1"/>
    </row>
    <row r="563" spans="6:8" ht="30">
      <c r="F563" s="26"/>
      <c r="H563" s="1"/>
    </row>
    <row r="564" spans="6:8" ht="30">
      <c r="F564" s="26"/>
      <c r="H564" s="1"/>
    </row>
    <row r="565" spans="6:8" ht="30">
      <c r="F565" s="26"/>
      <c r="H565" s="1"/>
    </row>
    <row r="566" spans="6:8" ht="30">
      <c r="F566" s="26"/>
      <c r="H566" s="1"/>
    </row>
    <row r="567" spans="6:8" ht="30">
      <c r="F567" s="26"/>
      <c r="H567" s="1"/>
    </row>
    <row r="568" spans="6:8" ht="30">
      <c r="F568" s="26"/>
      <c r="H568" s="1"/>
    </row>
    <row r="569" spans="6:8" ht="30">
      <c r="F569" s="26"/>
      <c r="H569" s="1"/>
    </row>
    <row r="570" spans="6:8" ht="30">
      <c r="F570" s="26"/>
      <c r="H570" s="1"/>
    </row>
    <row r="571" spans="6:8" ht="30">
      <c r="F571" s="26"/>
      <c r="H571" s="1"/>
    </row>
    <row r="572" spans="6:8" ht="30">
      <c r="F572" s="26"/>
      <c r="H572" s="1"/>
    </row>
    <row r="573" spans="6:8" ht="30">
      <c r="F573" s="26"/>
      <c r="H573" s="1"/>
    </row>
    <row r="574" spans="6:8" ht="30">
      <c r="F574" s="26"/>
      <c r="H574" s="1"/>
    </row>
    <row r="575" spans="6:8" ht="30">
      <c r="F575" s="26"/>
      <c r="H575" s="1"/>
    </row>
    <row r="576" spans="6:8" ht="30">
      <c r="F576" s="26"/>
      <c r="H576" s="1"/>
    </row>
    <row r="577" spans="6:8" ht="30">
      <c r="F577" s="26"/>
      <c r="H577" s="1"/>
    </row>
    <row r="578" spans="6:8" ht="30">
      <c r="F578" s="26"/>
      <c r="H578" s="1"/>
    </row>
    <row r="579" spans="6:8" ht="30">
      <c r="F579" s="26"/>
      <c r="H579" s="1"/>
    </row>
    <row r="580" spans="6:8" ht="30">
      <c r="F580" s="26"/>
      <c r="H580" s="1"/>
    </row>
    <row r="581" spans="6:8" ht="30">
      <c r="F581" s="26"/>
      <c r="H581" s="1"/>
    </row>
    <row r="582" spans="6:8" ht="30">
      <c r="F582" s="26"/>
      <c r="H582" s="1"/>
    </row>
    <row r="583" spans="6:8" ht="30">
      <c r="F583" s="26"/>
      <c r="H583" s="1"/>
    </row>
    <row r="584" spans="6:8" ht="30">
      <c r="F584" s="26"/>
      <c r="H584" s="1"/>
    </row>
    <row r="585" spans="6:8" ht="30">
      <c r="F585" s="26"/>
      <c r="H585" s="1"/>
    </row>
    <row r="586" spans="6:8" ht="30">
      <c r="F586" s="26"/>
      <c r="H586" s="1"/>
    </row>
    <row r="587" spans="6:8" ht="30">
      <c r="F587" s="26"/>
      <c r="H587" s="1"/>
    </row>
    <row r="588" spans="6:8" ht="30">
      <c r="F588" s="26"/>
      <c r="H588" s="1"/>
    </row>
    <row r="589" spans="6:8" ht="30">
      <c r="F589" s="26"/>
      <c r="H589" s="1"/>
    </row>
    <row r="590" spans="6:8" ht="30">
      <c r="F590" s="26"/>
      <c r="H590" s="1"/>
    </row>
    <row r="591" spans="6:8" ht="30">
      <c r="F591" s="26"/>
      <c r="H591" s="1"/>
    </row>
    <row r="592" spans="6:8" ht="30">
      <c r="F592" s="26"/>
      <c r="H592" s="1"/>
    </row>
    <row r="593" spans="6:8" ht="30">
      <c r="F593" s="26"/>
      <c r="H593" s="1"/>
    </row>
    <row r="594" spans="6:8" ht="30">
      <c r="F594" s="26"/>
      <c r="H594" s="1"/>
    </row>
    <row r="595" spans="6:8" ht="30">
      <c r="F595" s="26"/>
      <c r="H595" s="1"/>
    </row>
    <row r="596" spans="6:8" ht="30">
      <c r="F596" s="26"/>
      <c r="H596" s="1"/>
    </row>
    <row r="597" spans="6:8" ht="30">
      <c r="F597" s="26"/>
      <c r="H597" s="1"/>
    </row>
    <row r="598" spans="6:8" ht="30">
      <c r="F598" s="26"/>
      <c r="H598" s="1"/>
    </row>
    <row r="599" spans="6:8" ht="30">
      <c r="F599" s="26"/>
      <c r="H599" s="1"/>
    </row>
    <row r="600" spans="6:8" ht="30">
      <c r="F600" s="26"/>
      <c r="H600" s="1"/>
    </row>
    <row r="601" spans="6:8" ht="30">
      <c r="F601" s="26"/>
      <c r="H601" s="1"/>
    </row>
    <row r="602" spans="6:8" ht="30">
      <c r="F602" s="26"/>
      <c r="H602" s="1"/>
    </row>
    <row r="603" spans="6:8" ht="30">
      <c r="F603" s="26"/>
      <c r="H603" s="1"/>
    </row>
    <row r="604" spans="6:8" ht="30">
      <c r="F604" s="26"/>
      <c r="H604" s="1"/>
    </row>
    <row r="605" spans="6:8" ht="30">
      <c r="F605" s="26"/>
      <c r="H605" s="1"/>
    </row>
    <row r="606" spans="6:8" ht="30">
      <c r="F606" s="26"/>
      <c r="H606" s="1"/>
    </row>
    <row r="607" spans="6:8" ht="30">
      <c r="F607" s="26"/>
      <c r="H607" s="1"/>
    </row>
    <row r="608" spans="6:8" ht="30">
      <c r="F608" s="26"/>
      <c r="H608" s="1"/>
    </row>
    <row r="609" spans="6:8" ht="30">
      <c r="F609" s="26"/>
      <c r="H609" s="1"/>
    </row>
    <row r="610" spans="6:8" ht="30">
      <c r="F610" s="26"/>
      <c r="H610" s="1"/>
    </row>
    <row r="611" spans="6:8" ht="30">
      <c r="F611" s="26"/>
      <c r="H611" s="1"/>
    </row>
    <row r="612" spans="6:8" ht="30">
      <c r="F612" s="26"/>
      <c r="H612" s="1"/>
    </row>
    <row r="613" spans="6:8" ht="30">
      <c r="F613" s="26"/>
      <c r="H613" s="1"/>
    </row>
    <row r="614" spans="6:8" ht="30">
      <c r="F614" s="26"/>
      <c r="H614" s="1"/>
    </row>
    <row r="615" spans="6:8" ht="30">
      <c r="F615" s="26"/>
      <c r="H615" s="1"/>
    </row>
    <row r="616" spans="6:8" ht="30">
      <c r="F616" s="26"/>
      <c r="H616" s="1"/>
    </row>
    <row r="617" spans="6:8" ht="30">
      <c r="F617" s="26"/>
      <c r="H617" s="1"/>
    </row>
    <row r="618" spans="6:8" ht="30">
      <c r="F618" s="26"/>
      <c r="H618" s="1"/>
    </row>
    <row r="619" spans="6:8" ht="30">
      <c r="F619" s="26"/>
      <c r="H619" s="1"/>
    </row>
    <row r="620" spans="6:8" ht="30">
      <c r="F620" s="26"/>
      <c r="H620" s="1"/>
    </row>
    <row r="621" spans="6:8" ht="30">
      <c r="F621" s="26"/>
      <c r="H621" s="1"/>
    </row>
    <row r="622" spans="6:8" ht="30">
      <c r="F622" s="26"/>
      <c r="H622" s="1"/>
    </row>
    <row r="623" spans="6:8" ht="30">
      <c r="F623" s="26"/>
      <c r="H623" s="1"/>
    </row>
    <row r="624" spans="6:8" ht="30">
      <c r="F624" s="26"/>
      <c r="H624" s="1"/>
    </row>
    <row r="625" spans="6:8" ht="30">
      <c r="F625" s="26"/>
      <c r="H625" s="1"/>
    </row>
    <row r="626" spans="6:8" ht="30">
      <c r="F626" s="26"/>
      <c r="H626" s="1"/>
    </row>
    <row r="627" spans="6:8" ht="30">
      <c r="F627" s="26"/>
      <c r="H627" s="1"/>
    </row>
    <row r="628" spans="6:8" ht="30">
      <c r="F628" s="26"/>
      <c r="H628" s="1"/>
    </row>
    <row r="629" spans="6:8" ht="30">
      <c r="F629" s="26"/>
      <c r="H629" s="1"/>
    </row>
    <row r="630" spans="6:8" ht="30">
      <c r="F630" s="26"/>
      <c r="H630" s="1"/>
    </row>
    <row r="631" spans="6:8" ht="30">
      <c r="F631" s="26"/>
      <c r="H631" s="1"/>
    </row>
    <row r="632" spans="6:8" ht="30">
      <c r="F632" s="26"/>
      <c r="H632" s="1"/>
    </row>
    <row r="633" spans="6:8" ht="30">
      <c r="F633" s="26"/>
      <c r="H633" s="1"/>
    </row>
    <row r="634" spans="6:8" ht="30">
      <c r="F634" s="26"/>
      <c r="H634" s="1"/>
    </row>
    <row r="635" spans="6:8" ht="30">
      <c r="F635" s="26"/>
      <c r="H635" s="1"/>
    </row>
    <row r="636" spans="6:8" ht="30">
      <c r="F636" s="26"/>
      <c r="H636" s="1"/>
    </row>
    <row r="637" spans="6:8" ht="30">
      <c r="F637" s="26"/>
      <c r="H637" s="1"/>
    </row>
    <row r="638" spans="6:8" ht="30">
      <c r="F638" s="26"/>
      <c r="H638" s="1"/>
    </row>
    <row r="639" spans="6:8" ht="30">
      <c r="F639" s="26"/>
      <c r="H639" s="1"/>
    </row>
    <row r="640" spans="6:8" ht="30">
      <c r="F640" s="26"/>
      <c r="H640" s="1"/>
    </row>
    <row r="641" spans="6:8" ht="30">
      <c r="F641" s="26"/>
      <c r="H641" s="1"/>
    </row>
    <row r="642" spans="6:8" ht="30">
      <c r="F642" s="26"/>
      <c r="H642" s="1"/>
    </row>
    <row r="643" spans="6:8" ht="30">
      <c r="F643" s="26"/>
      <c r="H643" s="1"/>
    </row>
    <row r="644" spans="6:8" ht="30">
      <c r="F644" s="26"/>
      <c r="H644" s="1"/>
    </row>
    <row r="645" spans="6:8" ht="30">
      <c r="F645" s="26"/>
      <c r="H645" s="1"/>
    </row>
    <row r="646" spans="6:8" ht="30">
      <c r="F646" s="26"/>
      <c r="H646" s="1"/>
    </row>
    <row r="647" spans="6:8" ht="30">
      <c r="F647" s="26"/>
      <c r="H647" s="1"/>
    </row>
    <row r="648" spans="6:8" ht="30">
      <c r="F648" s="26"/>
      <c r="H648" s="1"/>
    </row>
    <row r="649" spans="6:8" ht="30">
      <c r="F649" s="26"/>
      <c r="H649" s="1"/>
    </row>
    <row r="650" spans="6:8" ht="30">
      <c r="F650" s="26"/>
      <c r="H650" s="1"/>
    </row>
    <row r="651" spans="6:8" ht="30">
      <c r="F651" s="26"/>
      <c r="H651" s="1"/>
    </row>
    <row r="652" spans="6:8" ht="30">
      <c r="F652" s="26"/>
      <c r="H652" s="1"/>
    </row>
    <row r="653" spans="6:8" ht="30">
      <c r="F653" s="26"/>
      <c r="H653" s="1"/>
    </row>
    <row r="654" spans="6:8" ht="30">
      <c r="F654" s="26"/>
      <c r="H654" s="1"/>
    </row>
    <row r="655" spans="6:8" ht="30">
      <c r="F655" s="26"/>
      <c r="H655" s="1"/>
    </row>
    <row r="656" spans="6:8" ht="30">
      <c r="F656" s="26"/>
      <c r="H656" s="1"/>
    </row>
    <row r="657" spans="6:8" ht="30">
      <c r="F657" s="26"/>
      <c r="H657" s="1"/>
    </row>
    <row r="658" spans="6:8" ht="30">
      <c r="F658" s="26"/>
      <c r="H658" s="1"/>
    </row>
    <row r="659" spans="6:8" ht="30">
      <c r="F659" s="26"/>
      <c r="H659" s="1"/>
    </row>
    <row r="660" spans="6:8" ht="30">
      <c r="F660" s="26"/>
      <c r="H660" s="1"/>
    </row>
    <row r="661" spans="6:8" ht="30">
      <c r="F661" s="26"/>
      <c r="H661" s="1"/>
    </row>
    <row r="662" spans="6:8" ht="30">
      <c r="F662" s="26"/>
      <c r="H662" s="1"/>
    </row>
    <row r="663" spans="6:8" ht="30">
      <c r="F663" s="26"/>
      <c r="H663" s="1"/>
    </row>
    <row r="664" spans="6:8" ht="30">
      <c r="F664" s="26"/>
      <c r="H664" s="1"/>
    </row>
    <row r="665" spans="6:8" ht="30">
      <c r="F665" s="26"/>
      <c r="H665" s="1"/>
    </row>
    <row r="666" spans="6:8" ht="30">
      <c r="F666" s="26"/>
      <c r="H666" s="1"/>
    </row>
    <row r="667" spans="6:8" ht="30">
      <c r="F667" s="26"/>
      <c r="H667" s="1"/>
    </row>
    <row r="668" spans="6:8" ht="30">
      <c r="F668" s="26"/>
      <c r="H668" s="1"/>
    </row>
    <row r="669" spans="6:8" ht="30">
      <c r="F669" s="26"/>
      <c r="H669" s="1"/>
    </row>
    <row r="670" spans="6:8" ht="30">
      <c r="F670" s="26"/>
      <c r="H670" s="1"/>
    </row>
    <row r="671" spans="6:8" ht="30">
      <c r="F671" s="26"/>
      <c r="H671" s="1"/>
    </row>
    <row r="672" spans="6:8" ht="30">
      <c r="F672" s="26"/>
      <c r="H672" s="1"/>
    </row>
    <row r="673" spans="6:8" ht="30">
      <c r="F673" s="26"/>
      <c r="H673" s="1"/>
    </row>
    <row r="674" spans="6:8" ht="30">
      <c r="F674" s="26"/>
      <c r="H674" s="1"/>
    </row>
    <row r="675" spans="6:8" ht="30">
      <c r="F675" s="26"/>
      <c r="H675" s="1"/>
    </row>
    <row r="676" spans="6:8" ht="30">
      <c r="F676" s="26"/>
      <c r="H676" s="1"/>
    </row>
    <row r="677" spans="6:8" ht="30">
      <c r="F677" s="26"/>
      <c r="H677" s="1"/>
    </row>
    <row r="678" spans="6:8" ht="30">
      <c r="F678" s="26"/>
      <c r="H678" s="1"/>
    </row>
    <row r="679" spans="6:8" ht="30">
      <c r="F679" s="26"/>
      <c r="H679" s="1"/>
    </row>
    <row r="680" spans="6:8" ht="30">
      <c r="F680" s="26"/>
      <c r="H680" s="1"/>
    </row>
    <row r="681" spans="6:8" ht="30">
      <c r="F681" s="26"/>
      <c r="H681" s="1"/>
    </row>
    <row r="682" spans="6:8" ht="30">
      <c r="F682" s="26"/>
      <c r="H682" s="1"/>
    </row>
    <row r="683" spans="6:8" ht="30">
      <c r="F683" s="26"/>
      <c r="H683" s="1"/>
    </row>
    <row r="684" spans="6:8" ht="30">
      <c r="F684" s="26"/>
      <c r="H684" s="1"/>
    </row>
    <row r="685" spans="6:8" ht="30">
      <c r="F685" s="26"/>
      <c r="H685" s="1"/>
    </row>
    <row r="686" spans="6:8" ht="30">
      <c r="F686" s="26"/>
      <c r="H686" s="1"/>
    </row>
    <row r="687" spans="6:8" ht="30">
      <c r="F687" s="26"/>
      <c r="H687" s="1"/>
    </row>
    <row r="688" spans="6:8" ht="30">
      <c r="F688" s="26"/>
      <c r="H688" s="1"/>
    </row>
    <row r="689" spans="6:8" ht="30">
      <c r="F689" s="26"/>
      <c r="H689" s="1"/>
    </row>
    <row r="690" spans="6:8" ht="30">
      <c r="F690" s="26"/>
      <c r="H690" s="1"/>
    </row>
    <row r="691" spans="6:8" ht="30">
      <c r="F691" s="26"/>
      <c r="H691" s="1"/>
    </row>
    <row r="692" spans="6:8" ht="30">
      <c r="F692" s="26"/>
      <c r="H692" s="1"/>
    </row>
    <row r="693" spans="6:8" ht="30">
      <c r="F693" s="26"/>
      <c r="H693" s="1"/>
    </row>
    <row r="694" spans="6:8" ht="30">
      <c r="F694" s="26"/>
      <c r="H694" s="1"/>
    </row>
    <row r="695" spans="6:8" ht="30">
      <c r="F695" s="26"/>
      <c r="H695" s="1"/>
    </row>
    <row r="696" spans="6:8" ht="30">
      <c r="F696" s="26"/>
      <c r="H696" s="1"/>
    </row>
    <row r="697" spans="6:8" ht="30">
      <c r="F697" s="26"/>
      <c r="H697" s="1"/>
    </row>
    <row r="698" spans="6:8" ht="30">
      <c r="F698" s="26"/>
      <c r="H698" s="1"/>
    </row>
    <row r="699" spans="6:8" ht="30">
      <c r="F699" s="26"/>
      <c r="H699" s="1"/>
    </row>
    <row r="700" spans="6:8" ht="30">
      <c r="F700" s="26"/>
      <c r="H700" s="1"/>
    </row>
    <row r="701" spans="6:8" ht="30">
      <c r="F701" s="26"/>
      <c r="H701" s="1"/>
    </row>
    <row r="702" spans="6:8" ht="30">
      <c r="F702" s="26"/>
      <c r="H702" s="1"/>
    </row>
    <row r="703" spans="6:8" ht="30">
      <c r="F703" s="26"/>
      <c r="H703" s="1"/>
    </row>
    <row r="704" spans="6:8" ht="30">
      <c r="F704" s="26"/>
      <c r="H704" s="1"/>
    </row>
    <row r="705" spans="6:8" ht="30">
      <c r="F705" s="26"/>
      <c r="H705" s="1"/>
    </row>
    <row r="706" spans="6:8" ht="30">
      <c r="F706" s="26"/>
      <c r="H706" s="1"/>
    </row>
    <row r="707" spans="6:8" ht="30">
      <c r="F707" s="26"/>
      <c r="H707" s="1"/>
    </row>
    <row r="708" spans="6:8" ht="30">
      <c r="F708" s="26"/>
      <c r="H708" s="1"/>
    </row>
    <row r="709" spans="6:8" ht="30">
      <c r="F709" s="26"/>
      <c r="H709" s="1"/>
    </row>
    <row r="710" spans="6:8" ht="30">
      <c r="F710" s="26"/>
      <c r="H710" s="1"/>
    </row>
    <row r="711" spans="6:8" ht="30">
      <c r="F711" s="26"/>
      <c r="H711" s="1"/>
    </row>
    <row r="712" spans="6:8" ht="30">
      <c r="F712" s="26"/>
      <c r="H712" s="1"/>
    </row>
    <row r="713" spans="6:8" ht="30">
      <c r="F713" s="26"/>
      <c r="H713" s="1"/>
    </row>
    <row r="714" spans="6:8" ht="30">
      <c r="F714" s="26"/>
      <c r="H714" s="1"/>
    </row>
    <row r="715" spans="6:8" ht="30">
      <c r="F715" s="26"/>
      <c r="H715" s="1"/>
    </row>
    <row r="716" spans="6:8" ht="30">
      <c r="F716" s="26"/>
      <c r="H716" s="1"/>
    </row>
    <row r="717" spans="6:8" ht="30">
      <c r="F717" s="26"/>
      <c r="H717" s="1"/>
    </row>
    <row r="718" spans="6:8" ht="30">
      <c r="F718" s="26"/>
      <c r="H718" s="1"/>
    </row>
    <row r="719" spans="6:8" ht="30">
      <c r="F719" s="26"/>
      <c r="H719" s="1"/>
    </row>
    <row r="720" spans="6:8" ht="30">
      <c r="F720" s="26"/>
      <c r="H720" s="1"/>
    </row>
    <row r="721" spans="6:8" ht="30">
      <c r="F721" s="26"/>
      <c r="H721" s="1"/>
    </row>
    <row r="722" spans="6:8" ht="30">
      <c r="F722" s="26"/>
      <c r="H722" s="1"/>
    </row>
    <row r="723" spans="6:8" ht="30">
      <c r="F723" s="26"/>
      <c r="H723" s="1"/>
    </row>
    <row r="724" spans="6:8" ht="30">
      <c r="F724" s="26"/>
      <c r="H724" s="1"/>
    </row>
    <row r="725" spans="6:8" ht="30">
      <c r="F725" s="26"/>
      <c r="H725" s="1"/>
    </row>
    <row r="726" spans="6:8" ht="30">
      <c r="F726" s="26"/>
      <c r="H726" s="1"/>
    </row>
    <row r="727" spans="6:8" ht="30">
      <c r="F727" s="26"/>
      <c r="H727" s="1"/>
    </row>
    <row r="728" spans="6:8" ht="30">
      <c r="F728" s="26"/>
      <c r="H728" s="1"/>
    </row>
    <row r="729" spans="6:8" ht="30">
      <c r="F729" s="26"/>
      <c r="H729" s="1"/>
    </row>
    <row r="730" spans="6:8" ht="30">
      <c r="F730" s="26"/>
      <c r="H730" s="1"/>
    </row>
    <row r="731" spans="6:8" ht="30">
      <c r="F731" s="26"/>
      <c r="H731" s="1"/>
    </row>
    <row r="732" spans="6:8" ht="30">
      <c r="F732" s="26"/>
      <c r="H732" s="1"/>
    </row>
    <row r="733" spans="6:8" ht="30">
      <c r="F733" s="26"/>
      <c r="H733" s="1"/>
    </row>
    <row r="734" spans="6:8" ht="30">
      <c r="F734" s="26"/>
      <c r="H734" s="1"/>
    </row>
    <row r="735" spans="6:8" ht="30">
      <c r="F735" s="26"/>
      <c r="H735" s="1"/>
    </row>
    <row r="736" spans="6:8" ht="30">
      <c r="F736" s="26"/>
      <c r="H736" s="1"/>
    </row>
    <row r="737" spans="6:8" ht="30">
      <c r="F737" s="26"/>
      <c r="H737" s="1"/>
    </row>
    <row r="738" spans="6:8" ht="30">
      <c r="F738" s="26"/>
      <c r="H738" s="1"/>
    </row>
    <row r="739" spans="6:8" ht="30">
      <c r="F739" s="26"/>
      <c r="H739" s="1"/>
    </row>
    <row r="740" spans="6:8" ht="30">
      <c r="F740" s="26"/>
      <c r="H740" s="1"/>
    </row>
    <row r="741" spans="6:8" ht="30">
      <c r="F741" s="26"/>
      <c r="H741" s="1"/>
    </row>
    <row r="742" spans="6:8" ht="30">
      <c r="F742" s="26"/>
      <c r="H742" s="1"/>
    </row>
    <row r="743" spans="6:8" ht="30">
      <c r="F743" s="26"/>
      <c r="H743" s="1"/>
    </row>
    <row r="744" spans="6:8" ht="30">
      <c r="F744" s="26"/>
      <c r="H744" s="1"/>
    </row>
    <row r="745" spans="6:8" ht="30">
      <c r="F745" s="26"/>
      <c r="H745" s="1"/>
    </row>
    <row r="746" spans="6:8" ht="30">
      <c r="F746" s="26"/>
      <c r="H746" s="1"/>
    </row>
    <row r="747" spans="6:8" ht="30">
      <c r="F747" s="26"/>
      <c r="H747" s="1"/>
    </row>
    <row r="748" spans="6:8" ht="30">
      <c r="F748" s="26"/>
      <c r="H748" s="1"/>
    </row>
    <row r="749" spans="6:8" ht="30">
      <c r="F749" s="26"/>
      <c r="H749" s="1"/>
    </row>
    <row r="750" spans="6:8" ht="30">
      <c r="F750" s="26"/>
      <c r="H750" s="1"/>
    </row>
    <row r="751" spans="6:8" ht="30">
      <c r="F751" s="26"/>
      <c r="H751" s="1"/>
    </row>
    <row r="752" spans="6:8" ht="30">
      <c r="F752" s="26"/>
      <c r="H752" s="1"/>
    </row>
    <row r="753" spans="6:8" ht="30">
      <c r="F753" s="26"/>
      <c r="H753" s="1"/>
    </row>
    <row r="754" spans="6:8" ht="30">
      <c r="F754" s="26"/>
      <c r="H754" s="1"/>
    </row>
    <row r="755" spans="6:8" ht="30">
      <c r="F755" s="26"/>
      <c r="H755" s="1"/>
    </row>
    <row r="756" spans="6:8" ht="30">
      <c r="F756" s="26"/>
      <c r="H756" s="1"/>
    </row>
    <row r="757" spans="6:8" ht="30">
      <c r="F757" s="26"/>
      <c r="H757" s="1"/>
    </row>
    <row r="758" spans="6:8" ht="30">
      <c r="F758" s="26"/>
      <c r="H758" s="1"/>
    </row>
    <row r="759" spans="6:8" ht="30">
      <c r="F759" s="26"/>
      <c r="H759" s="1"/>
    </row>
    <row r="760" spans="6:8" ht="30">
      <c r="F760" s="26"/>
      <c r="H760" s="1"/>
    </row>
    <row r="761" spans="6:8" ht="30">
      <c r="F761" s="26"/>
      <c r="H761" s="1"/>
    </row>
    <row r="762" spans="6:8" ht="30">
      <c r="F762" s="26"/>
      <c r="H762" s="1"/>
    </row>
    <row r="763" spans="6:8" ht="30">
      <c r="F763" s="26"/>
      <c r="H763" s="1"/>
    </row>
    <row r="764" spans="6:8" ht="30">
      <c r="F764" s="26"/>
      <c r="H764" s="1"/>
    </row>
    <row r="765" spans="6:8" ht="30">
      <c r="F765" s="26"/>
      <c r="H765" s="1"/>
    </row>
    <row r="766" spans="6:8" ht="30">
      <c r="F766" s="26"/>
      <c r="H766" s="1"/>
    </row>
    <row r="767" spans="6:8" ht="30">
      <c r="F767" s="26"/>
      <c r="H767" s="1"/>
    </row>
    <row r="768" spans="6:8" ht="30">
      <c r="F768" s="26"/>
      <c r="H768" s="1"/>
    </row>
    <row r="769" spans="6:8" ht="30">
      <c r="F769" s="26"/>
      <c r="H769" s="1"/>
    </row>
    <row r="770" spans="6:8" ht="30">
      <c r="F770" s="26"/>
      <c r="H770" s="1"/>
    </row>
    <row r="771" spans="6:8" ht="30">
      <c r="F771" s="26"/>
      <c r="H771" s="1"/>
    </row>
    <row r="772" spans="6:8" ht="30">
      <c r="F772" s="26"/>
      <c r="H772" s="1"/>
    </row>
    <row r="773" spans="6:8" ht="30">
      <c r="F773" s="26"/>
      <c r="H773" s="1"/>
    </row>
    <row r="774" spans="6:8" ht="30">
      <c r="F774" s="26"/>
      <c r="H774" s="1"/>
    </row>
    <row r="775" spans="6:8" ht="30">
      <c r="F775" s="26"/>
      <c r="H775" s="1"/>
    </row>
    <row r="776" spans="6:8" ht="30">
      <c r="F776" s="26"/>
      <c r="H776" s="1"/>
    </row>
    <row r="777" spans="6:8" ht="30">
      <c r="F777" s="26"/>
      <c r="H777" s="1"/>
    </row>
    <row r="778" spans="6:8" ht="30">
      <c r="F778" s="26"/>
      <c r="H778" s="1"/>
    </row>
    <row r="779" spans="6:8" ht="30">
      <c r="F779" s="26"/>
      <c r="H779" s="1"/>
    </row>
    <row r="780" spans="6:8" ht="30">
      <c r="F780" s="26"/>
      <c r="H780" s="1"/>
    </row>
    <row r="781" spans="6:8" ht="30">
      <c r="F781" s="26"/>
      <c r="H781" s="1"/>
    </row>
    <row r="782" spans="6:8" ht="30">
      <c r="F782" s="26"/>
      <c r="H782" s="1"/>
    </row>
    <row r="783" spans="6:8" ht="30">
      <c r="F783" s="26"/>
      <c r="H783" s="1"/>
    </row>
    <row r="784" spans="6:8" ht="30">
      <c r="F784" s="26"/>
      <c r="H784" s="1"/>
    </row>
    <row r="785" spans="6:8" ht="30">
      <c r="F785" s="26"/>
      <c r="H785" s="1"/>
    </row>
    <row r="786" spans="6:8" ht="30">
      <c r="F786" s="26"/>
      <c r="H786" s="1"/>
    </row>
    <row r="787" spans="6:8" ht="30">
      <c r="F787" s="26"/>
      <c r="H787" s="1"/>
    </row>
    <row r="788" spans="6:8" ht="30">
      <c r="F788" s="26"/>
      <c r="H788" s="1"/>
    </row>
    <row r="789" spans="6:8" ht="30">
      <c r="F789" s="26"/>
      <c r="H789" s="1"/>
    </row>
    <row r="790" spans="6:8" ht="30">
      <c r="F790" s="26"/>
      <c r="H790" s="1"/>
    </row>
    <row r="791" spans="6:8" ht="30">
      <c r="F791" s="26"/>
      <c r="H791" s="1"/>
    </row>
    <row r="792" spans="6:8" ht="30">
      <c r="F792" s="26"/>
      <c r="H792" s="1"/>
    </row>
    <row r="793" spans="6:8" ht="30">
      <c r="F793" s="26"/>
      <c r="H793" s="1"/>
    </row>
    <row r="794" spans="6:8" ht="30">
      <c r="F794" s="26"/>
      <c r="H794" s="1"/>
    </row>
    <row r="795" spans="6:8" ht="30">
      <c r="F795" s="26"/>
      <c r="H795" s="1"/>
    </row>
    <row r="796" spans="6:8" ht="30">
      <c r="F796" s="26"/>
      <c r="H796" s="1"/>
    </row>
    <row r="797" spans="6:8" ht="30">
      <c r="F797" s="26"/>
      <c r="H797" s="1"/>
    </row>
    <row r="798" spans="6:8" ht="30">
      <c r="F798" s="26"/>
      <c r="H798" s="1"/>
    </row>
    <row r="799" spans="6:8" ht="30">
      <c r="F799" s="26"/>
      <c r="H799" s="1"/>
    </row>
    <row r="800" spans="6:8" ht="30">
      <c r="F800" s="26"/>
      <c r="H800" s="1"/>
    </row>
    <row r="801" spans="6:8" ht="30">
      <c r="F801" s="26"/>
      <c r="H801" s="1"/>
    </row>
    <row r="802" spans="6:8" ht="30">
      <c r="F802" s="26"/>
      <c r="H802" s="1"/>
    </row>
    <row r="803" spans="6:8" ht="30">
      <c r="F803" s="26"/>
      <c r="H803" s="1"/>
    </row>
    <row r="804" spans="6:8" ht="30">
      <c r="F804" s="26"/>
      <c r="H804" s="1"/>
    </row>
    <row r="805" spans="6:8" ht="30">
      <c r="F805" s="26"/>
      <c r="H805" s="1"/>
    </row>
    <row r="806" spans="6:8" ht="30">
      <c r="F806" s="26"/>
      <c r="H806" s="1"/>
    </row>
    <row r="807" spans="6:8" ht="30">
      <c r="F807" s="26"/>
      <c r="H807" s="1"/>
    </row>
    <row r="808" spans="6:8" ht="30">
      <c r="F808" s="26"/>
      <c r="H808" s="1"/>
    </row>
    <row r="809" spans="6:8" ht="30">
      <c r="F809" s="26"/>
      <c r="H809" s="1"/>
    </row>
    <row r="810" spans="6:8" ht="30">
      <c r="F810" s="26"/>
      <c r="H810" s="1"/>
    </row>
    <row r="811" spans="6:8" ht="30">
      <c r="F811" s="26"/>
      <c r="H811" s="1"/>
    </row>
    <row r="812" spans="6:8" ht="30">
      <c r="F812" s="26"/>
      <c r="H812" s="1"/>
    </row>
    <row r="813" spans="6:8" ht="30">
      <c r="F813" s="26"/>
      <c r="H813" s="1"/>
    </row>
    <row r="814" spans="6:8" ht="30">
      <c r="F814" s="26"/>
      <c r="H814" s="1"/>
    </row>
    <row r="815" spans="6:8" ht="30">
      <c r="F815" s="26"/>
      <c r="H815" s="1"/>
    </row>
    <row r="816" spans="6:8" ht="30">
      <c r="F816" s="26"/>
      <c r="H816" s="1"/>
    </row>
    <row r="817" spans="6:8" ht="30">
      <c r="F817" s="26"/>
      <c r="H817" s="1"/>
    </row>
    <row r="818" spans="6:8" ht="30">
      <c r="F818" s="26"/>
      <c r="H818" s="1"/>
    </row>
    <row r="819" spans="6:8" ht="30">
      <c r="F819" s="26"/>
      <c r="H819" s="1"/>
    </row>
    <row r="820" spans="6:8" ht="30">
      <c r="F820" s="26"/>
      <c r="H820" s="1"/>
    </row>
    <row r="821" spans="6:8" ht="30">
      <c r="F821" s="26"/>
      <c r="H821" s="1"/>
    </row>
    <row r="822" spans="6:8" ht="30">
      <c r="F822" s="26"/>
      <c r="H822" s="1"/>
    </row>
    <row r="823" spans="6:8" ht="30">
      <c r="F823" s="26"/>
      <c r="H823" s="1"/>
    </row>
    <row r="824" spans="6:8" ht="30">
      <c r="F824" s="26"/>
      <c r="H824" s="1"/>
    </row>
    <row r="825" spans="6:8" ht="30">
      <c r="F825" s="26"/>
      <c r="H825" s="1"/>
    </row>
    <row r="826" spans="6:8" ht="30">
      <c r="F826" s="26"/>
      <c r="H826" s="1"/>
    </row>
    <row r="827" spans="6:8" ht="30">
      <c r="F827" s="26"/>
      <c r="H827" s="1"/>
    </row>
    <row r="828" spans="6:8" ht="30">
      <c r="F828" s="26"/>
      <c r="H828" s="1"/>
    </row>
    <row r="829" spans="6:8" ht="30">
      <c r="F829" s="26"/>
      <c r="H829" s="1"/>
    </row>
    <row r="830" spans="6:8" ht="30">
      <c r="F830" s="26"/>
      <c r="H830" s="1"/>
    </row>
    <row r="831" spans="6:8" ht="30">
      <c r="F831" s="26"/>
      <c r="H831" s="1"/>
    </row>
    <row r="832" spans="6:8" ht="30">
      <c r="F832" s="26"/>
      <c r="H832" s="1"/>
    </row>
    <row r="833" spans="6:8" ht="30">
      <c r="F833" s="26"/>
      <c r="H833" s="1"/>
    </row>
    <row r="834" spans="6:8" ht="30">
      <c r="F834" s="26"/>
      <c r="H834" s="1"/>
    </row>
    <row r="835" spans="6:8" ht="30">
      <c r="F835" s="26"/>
      <c r="H835" s="1"/>
    </row>
    <row r="836" spans="6:8" ht="30">
      <c r="F836" s="26"/>
      <c r="H836" s="1"/>
    </row>
    <row r="837" spans="6:8" ht="30">
      <c r="F837" s="26"/>
      <c r="H837" s="1"/>
    </row>
    <row r="838" spans="6:8" ht="30">
      <c r="F838" s="26"/>
      <c r="H838" s="1"/>
    </row>
    <row r="839" spans="6:8" ht="30">
      <c r="F839" s="26"/>
      <c r="H839" s="1"/>
    </row>
    <row r="840" spans="6:8" ht="30">
      <c r="F840" s="26"/>
      <c r="H840" s="1"/>
    </row>
    <row r="841" spans="6:8" ht="30">
      <c r="F841" s="26"/>
      <c r="H841" s="1"/>
    </row>
    <row r="842" spans="6:8" ht="30">
      <c r="F842" s="26"/>
      <c r="H842" s="1"/>
    </row>
    <row r="843" spans="6:8" ht="30">
      <c r="F843" s="26"/>
      <c r="H843" s="1"/>
    </row>
    <row r="844" spans="6:8" ht="30">
      <c r="F844" s="26"/>
      <c r="H844" s="1"/>
    </row>
    <row r="845" spans="6:8" ht="30">
      <c r="F845" s="26"/>
      <c r="H845" s="1"/>
    </row>
    <row r="846" spans="6:8" ht="30">
      <c r="F846" s="26"/>
      <c r="H846" s="1"/>
    </row>
    <row r="847" spans="6:8" ht="30">
      <c r="F847" s="26"/>
      <c r="H847" s="1"/>
    </row>
    <row r="848" spans="6:8" ht="30">
      <c r="F848" s="26"/>
      <c r="H848" s="1"/>
    </row>
    <row r="849" spans="6:8" ht="30">
      <c r="F849" s="26"/>
      <c r="H849" s="1"/>
    </row>
    <row r="850" spans="6:8" ht="30">
      <c r="F850" s="26"/>
      <c r="H850" s="1"/>
    </row>
    <row r="851" spans="6:8" ht="30">
      <c r="F851" s="26"/>
      <c r="H851" s="1"/>
    </row>
    <row r="852" spans="6:8" ht="30">
      <c r="F852" s="26"/>
      <c r="H852" s="1"/>
    </row>
    <row r="853" spans="6:8" ht="30">
      <c r="F853" s="26"/>
      <c r="H853" s="1"/>
    </row>
    <row r="854" spans="6:8" ht="30">
      <c r="F854" s="26"/>
      <c r="H854" s="1"/>
    </row>
    <row r="855" spans="6:8" ht="30">
      <c r="F855" s="26"/>
      <c r="H855" s="1"/>
    </row>
    <row r="856" spans="6:8" ht="30">
      <c r="F856" s="26"/>
      <c r="H856" s="1"/>
    </row>
    <row r="857" spans="6:8" ht="30">
      <c r="F857" s="26"/>
      <c r="H857" s="1"/>
    </row>
    <row r="858" spans="6:8" ht="30">
      <c r="F858" s="26"/>
      <c r="H858" s="1"/>
    </row>
    <row r="859" spans="6:8" ht="30">
      <c r="F859" s="26"/>
      <c r="H859" s="1"/>
    </row>
    <row r="860" spans="6:8" ht="30">
      <c r="F860" s="26"/>
      <c r="H860" s="1"/>
    </row>
    <row r="861" spans="6:8" ht="30">
      <c r="F861" s="26"/>
      <c r="H861" s="1"/>
    </row>
    <row r="862" spans="6:8" ht="30">
      <c r="F862" s="26"/>
      <c r="H862" s="1"/>
    </row>
    <row r="863" spans="6:8" ht="30">
      <c r="F863" s="26"/>
      <c r="H863" s="1"/>
    </row>
    <row r="864" spans="6:8" ht="30">
      <c r="F864" s="26"/>
      <c r="H864" s="1"/>
    </row>
    <row r="865" spans="6:8" ht="30">
      <c r="F865" s="26"/>
      <c r="H865" s="1"/>
    </row>
    <row r="866" spans="6:8" ht="30">
      <c r="F866" s="26"/>
      <c r="H866" s="1"/>
    </row>
    <row r="867" spans="6:8" ht="30">
      <c r="F867" s="26"/>
      <c r="H867" s="1"/>
    </row>
    <row r="868" spans="6:8" ht="30">
      <c r="F868" s="26"/>
      <c r="H868" s="1"/>
    </row>
    <row r="869" spans="6:8" ht="30">
      <c r="F869" s="26"/>
      <c r="H869" s="1"/>
    </row>
    <row r="870" spans="6:8" ht="30">
      <c r="F870" s="26"/>
      <c r="H870" s="1"/>
    </row>
    <row r="871" spans="6:8" ht="30">
      <c r="F871" s="26"/>
      <c r="H871" s="1"/>
    </row>
    <row r="872" spans="6:8" ht="30">
      <c r="F872" s="26"/>
      <c r="H872" s="1"/>
    </row>
    <row r="873" spans="6:8" ht="30">
      <c r="F873" s="26"/>
      <c r="H873" s="1"/>
    </row>
    <row r="874" spans="6:8" ht="30">
      <c r="F874" s="26"/>
      <c r="H874" s="1"/>
    </row>
    <row r="875" spans="6:8" ht="30">
      <c r="F875" s="26"/>
      <c r="H875" s="1"/>
    </row>
    <row r="876" spans="6:8" ht="30">
      <c r="F876" s="26"/>
      <c r="H876" s="1"/>
    </row>
    <row r="877" spans="6:8" ht="30">
      <c r="F877" s="26"/>
      <c r="H877" s="1"/>
    </row>
    <row r="878" spans="6:8" ht="30">
      <c r="F878" s="26"/>
      <c r="H878" s="1"/>
    </row>
    <row r="879" spans="6:8" ht="30">
      <c r="F879" s="26"/>
      <c r="H879" s="1"/>
    </row>
    <row r="880" spans="6:8" ht="30">
      <c r="F880" s="26"/>
      <c r="H880" s="1"/>
    </row>
    <row r="881" spans="6:8" ht="30">
      <c r="F881" s="26"/>
      <c r="H881" s="1"/>
    </row>
    <row r="882" spans="6:8" ht="30">
      <c r="F882" s="26"/>
      <c r="H882" s="1"/>
    </row>
    <row r="883" spans="6:8" ht="30">
      <c r="F883" s="26"/>
      <c r="H883" s="1"/>
    </row>
    <row r="884" spans="6:8" ht="30">
      <c r="F884" s="26"/>
      <c r="H884" s="1"/>
    </row>
    <row r="885" spans="6:8" ht="30">
      <c r="F885" s="26"/>
      <c r="H885" s="1"/>
    </row>
    <row r="886" spans="6:8" ht="30">
      <c r="F886" s="26"/>
      <c r="H886" s="1"/>
    </row>
    <row r="887" spans="6:8" ht="30">
      <c r="F887" s="26"/>
      <c r="H887" s="1"/>
    </row>
    <row r="888" spans="6:8" ht="30">
      <c r="F888" s="26"/>
      <c r="H888" s="1"/>
    </row>
    <row r="889" spans="6:8" ht="30">
      <c r="F889" s="26"/>
      <c r="H889" s="1"/>
    </row>
    <row r="890" spans="6:8" ht="30">
      <c r="F890" s="26"/>
      <c r="H890" s="1"/>
    </row>
    <row r="891" spans="6:8" ht="30">
      <c r="F891" s="26"/>
      <c r="H891" s="1"/>
    </row>
    <row r="892" spans="6:8" ht="30">
      <c r="F892" s="26"/>
      <c r="H892" s="1"/>
    </row>
    <row r="893" spans="6:8" ht="30">
      <c r="F893" s="26"/>
      <c r="H893" s="1"/>
    </row>
    <row r="894" spans="6:8" ht="30">
      <c r="F894" s="26"/>
      <c r="H894" s="1"/>
    </row>
    <row r="895" spans="6:8" ht="30">
      <c r="F895" s="26"/>
      <c r="H895" s="1"/>
    </row>
    <row r="896" spans="6:8" ht="30">
      <c r="F896" s="26"/>
      <c r="H896" s="1"/>
    </row>
    <row r="897" spans="6:8" ht="30">
      <c r="F897" s="26"/>
      <c r="H897" s="1"/>
    </row>
    <row r="898" spans="6:8" ht="30">
      <c r="F898" s="26"/>
      <c r="H898" s="1"/>
    </row>
    <row r="899" spans="6:8" ht="30">
      <c r="F899" s="26"/>
      <c r="H899" s="1"/>
    </row>
    <row r="900" spans="6:8" ht="30">
      <c r="F900" s="26"/>
      <c r="H900" s="1"/>
    </row>
    <row r="901" spans="6:8" ht="30">
      <c r="F901" s="26"/>
      <c r="H901" s="1"/>
    </row>
    <row r="902" spans="6:8" ht="30">
      <c r="F902" s="26"/>
      <c r="H902" s="1"/>
    </row>
    <row r="903" spans="6:8" ht="30">
      <c r="F903" s="26"/>
      <c r="H903" s="1"/>
    </row>
    <row r="904" spans="6:8" ht="30">
      <c r="F904" s="26"/>
      <c r="H904" s="1"/>
    </row>
    <row r="905" spans="6:8" ht="30">
      <c r="F905" s="26"/>
      <c r="H905" s="1"/>
    </row>
    <row r="906" spans="6:8" ht="30">
      <c r="F906" s="26"/>
      <c r="H906" s="1"/>
    </row>
    <row r="907" spans="6:8" ht="13.2"/>
  </sheetData>
  <mergeCells count="7">
    <mergeCell ref="A32:F32"/>
    <mergeCell ref="A1:F4"/>
    <mergeCell ref="A14:A15"/>
    <mergeCell ref="C14:F14"/>
    <mergeCell ref="C15:F15"/>
    <mergeCell ref="A16:F16"/>
    <mergeCell ref="A26:F26"/>
  </mergeCells>
  <conditionalFormatting sqref="F36:F906">
    <cfRule type="containsText" dxfId="45" priority="5" operator="containsText" text="نجح">
      <formula>NOT(ISERROR(SEARCH(("نجح"),(F36))))</formula>
    </cfRule>
    <cfRule type="containsText" dxfId="44" priority="6" operator="containsText" text="فشل">
      <formula>NOT(ISERROR(SEARCH(("فشل"),(F36))))</formula>
    </cfRule>
  </conditionalFormatting>
  <dataValidations count="1">
    <dataValidation showDropDown="1" showInputMessage="1" showErrorMessage="1" sqref="D6:E6 B8:C8" xr:uid="{341C6A66-0D9F-42E1-804D-95AE121B3B0E}"/>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F85E-74CD-4B93-B979-E98944763B8E}">
  <sheetPr>
    <outlinePr summaryBelow="0" summaryRight="0"/>
  </sheetPr>
  <dimension ref="A1:S911"/>
  <sheetViews>
    <sheetView rightToLeft="1" zoomScale="26" zoomScaleNormal="100" workbookViewId="0">
      <selection activeCell="C18" sqref="C18"/>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44140625" bestFit="1" customWidth="1"/>
    <col min="6" max="6" width="54" customWidth="1"/>
    <col min="7" max="7" width="38.88671875" customWidth="1"/>
    <col min="15" max="15" width="14" customWidth="1"/>
    <col min="16" max="16" width="19.88671875" customWidth="1"/>
  </cols>
  <sheetData>
    <row r="1" spans="1:18" ht="15.75" customHeight="1">
      <c r="A1" s="148"/>
      <c r="B1" s="148"/>
      <c r="C1" s="148"/>
      <c r="D1" s="148"/>
      <c r="E1" s="148"/>
      <c r="F1" s="148"/>
      <c r="G1" s="148"/>
    </row>
    <row r="2" spans="1:18" ht="15.75" customHeight="1">
      <c r="A2" s="148"/>
      <c r="B2" s="148"/>
      <c r="C2" s="148"/>
      <c r="D2" s="148"/>
      <c r="E2" s="148"/>
      <c r="F2" s="148"/>
      <c r="G2" s="148"/>
    </row>
    <row r="3" spans="1:18" ht="15.75" customHeight="1">
      <c r="A3" s="148"/>
      <c r="B3" s="148"/>
      <c r="C3" s="148"/>
      <c r="D3" s="148"/>
      <c r="E3" s="148"/>
      <c r="F3" s="148"/>
      <c r="G3" s="148"/>
    </row>
    <row r="4" spans="1:18" ht="39.6" customHeight="1">
      <c r="A4" s="148"/>
      <c r="B4" s="148"/>
      <c r="C4" s="148"/>
      <c r="D4" s="148"/>
      <c r="E4" s="148"/>
      <c r="F4" s="148"/>
      <c r="G4" s="148"/>
    </row>
    <row r="5" spans="1:18" ht="1.2" customHeight="1">
      <c r="A5" s="4"/>
      <c r="B5" s="4"/>
      <c r="C5" s="4"/>
      <c r="D5" s="4"/>
      <c r="E5" s="4"/>
      <c r="F5" s="4"/>
    </row>
    <row r="6" spans="1:18" ht="22.8">
      <c r="A6" s="4"/>
      <c r="B6" s="4"/>
      <c r="C6" s="5"/>
      <c r="D6" s="5"/>
      <c r="E6" s="4"/>
      <c r="F6" s="4"/>
      <c r="G6" s="129"/>
    </row>
    <row r="7" spans="1:18" ht="22.8">
      <c r="A7" s="4"/>
      <c r="B7" s="4"/>
      <c r="C7" s="5"/>
      <c r="D7" s="5"/>
      <c r="E7" s="4"/>
      <c r="F7" s="4"/>
      <c r="G7" s="129"/>
      <c r="N7" s="7"/>
      <c r="O7" s="7"/>
      <c r="P7" s="7" t="s">
        <v>1</v>
      </c>
      <c r="Q7" s="7">
        <f>COUNTIF(A:F,"ريوف الحربي")</f>
        <v>0</v>
      </c>
      <c r="R7" s="6"/>
    </row>
    <row r="8" spans="1:18" ht="22.8">
      <c r="A8" s="58" t="s">
        <v>2</v>
      </c>
      <c r="B8" s="59" t="s">
        <v>38</v>
      </c>
      <c r="C8" s="5"/>
      <c r="D8" s="5"/>
      <c r="E8" s="4"/>
      <c r="F8" s="4"/>
      <c r="G8" s="129"/>
      <c r="N8" s="7"/>
      <c r="O8" s="7"/>
      <c r="P8" s="7" t="s">
        <v>4</v>
      </c>
      <c r="Q8" s="7">
        <f>COUNTIF(A:F,"ريماز المجنحي")</f>
        <v>0</v>
      </c>
      <c r="R8" s="6"/>
    </row>
    <row r="9" spans="1:18" ht="51.75" customHeight="1">
      <c r="A9" s="32" t="s">
        <v>39</v>
      </c>
      <c r="B9" s="57" t="s">
        <v>40</v>
      </c>
      <c r="C9" s="5"/>
      <c r="D9" s="5"/>
      <c r="E9" s="31" t="s">
        <v>41</v>
      </c>
      <c r="F9" s="4"/>
      <c r="G9" s="129"/>
      <c r="N9" s="7"/>
      <c r="O9" s="7"/>
      <c r="P9" s="7" t="s">
        <v>7</v>
      </c>
      <c r="Q9" s="7">
        <f>COUNTIF(A:F,"فريق الجودة")</f>
        <v>0</v>
      </c>
      <c r="R9" s="6"/>
    </row>
    <row r="10" spans="1:18" ht="39" customHeight="1">
      <c r="A10" s="4"/>
      <c r="B10" s="4"/>
      <c r="C10" s="4"/>
      <c r="D10" s="4"/>
      <c r="E10" s="31" t="s">
        <v>8</v>
      </c>
      <c r="F10" s="4"/>
      <c r="G10" s="129"/>
      <c r="M10" s="128"/>
      <c r="N10" s="7" t="s">
        <v>41</v>
      </c>
      <c r="O10" s="7">
        <f>COUNTIF(F:G,"نجح")</f>
        <v>0</v>
      </c>
      <c r="P10" s="7" t="s">
        <v>42</v>
      </c>
      <c r="Q10" s="7">
        <f>COUNTIF(A:F,"سلطان نعمان")</f>
        <v>0</v>
      </c>
      <c r="R10" s="6"/>
    </row>
    <row r="11" spans="1:18" ht="48" customHeight="1">
      <c r="A11" s="4"/>
      <c r="B11" s="4"/>
      <c r="C11" s="4"/>
      <c r="D11" s="4"/>
      <c r="E11" s="31"/>
      <c r="F11" s="4"/>
      <c r="G11" s="129"/>
      <c r="M11" s="128"/>
      <c r="N11" s="7"/>
      <c r="O11" s="7"/>
      <c r="P11" s="7"/>
      <c r="Q11" s="7"/>
      <c r="R11" s="6"/>
    </row>
    <row r="12" spans="1:18" ht="68.25" customHeight="1">
      <c r="A12" s="4"/>
      <c r="B12" s="4"/>
      <c r="C12" s="4"/>
      <c r="D12" s="4"/>
      <c r="E12" s="4"/>
      <c r="F12" s="4"/>
      <c r="G12" s="129"/>
      <c r="M12" s="128"/>
      <c r="N12" s="7" t="s">
        <v>8</v>
      </c>
      <c r="O12" s="7">
        <f>COUNTIF(F:G,"فشل")</f>
        <v>0</v>
      </c>
      <c r="P12" s="7"/>
      <c r="Q12" s="7"/>
      <c r="R12" s="6"/>
    </row>
    <row r="13" spans="1:18" ht="25.2" customHeight="1">
      <c r="A13" s="4"/>
      <c r="B13" s="4"/>
      <c r="C13" s="4"/>
      <c r="D13" s="4"/>
      <c r="E13" s="4"/>
      <c r="F13" s="4"/>
      <c r="G13" s="129"/>
      <c r="O13" s="6"/>
      <c r="P13" s="6"/>
      <c r="Q13" s="6"/>
      <c r="R13" s="6"/>
    </row>
    <row r="14" spans="1:18" ht="13.2">
      <c r="A14" s="4"/>
      <c r="B14" s="4"/>
      <c r="C14" s="4"/>
      <c r="D14" s="4"/>
      <c r="E14" s="4"/>
      <c r="F14" s="4"/>
      <c r="G14" s="129"/>
      <c r="O14" s="6"/>
      <c r="P14" s="6"/>
      <c r="Q14" s="6"/>
      <c r="R14" s="6"/>
    </row>
    <row r="15" spans="1:18" ht="13.2">
      <c r="A15" s="4"/>
      <c r="B15" s="4"/>
      <c r="C15" s="4"/>
      <c r="D15" s="4"/>
      <c r="E15" s="4"/>
      <c r="F15" s="4"/>
      <c r="G15" s="129"/>
      <c r="O15" s="6"/>
      <c r="P15" s="6"/>
      <c r="Q15" s="6"/>
      <c r="R15" s="6"/>
    </row>
    <row r="16" spans="1:18" s="8" customFormat="1" ht="34.799999999999997">
      <c r="A16" s="63" t="s">
        <v>43</v>
      </c>
      <c r="B16" s="18" t="s">
        <v>44</v>
      </c>
      <c r="C16" s="18" t="s">
        <v>45</v>
      </c>
      <c r="D16" s="18" t="s">
        <v>46</v>
      </c>
      <c r="E16" s="18" t="s">
        <v>47</v>
      </c>
      <c r="F16" s="18" t="s">
        <v>48</v>
      </c>
      <c r="G16" s="18" t="s">
        <v>49</v>
      </c>
    </row>
    <row r="17" spans="1:19" ht="90" customHeight="1">
      <c r="A17" s="20">
        <v>1</v>
      </c>
      <c r="B17" s="9" t="s">
        <v>50</v>
      </c>
      <c r="C17" s="9" t="s">
        <v>51</v>
      </c>
      <c r="D17" s="39" t="s">
        <v>52</v>
      </c>
      <c r="E17" s="9" t="s">
        <v>53</v>
      </c>
      <c r="F17" s="9"/>
      <c r="G17" s="12"/>
    </row>
    <row r="18" spans="1:19" ht="265.2">
      <c r="A18" s="20">
        <v>2</v>
      </c>
      <c r="B18" s="9" t="s">
        <v>50</v>
      </c>
      <c r="C18" s="9" t="s">
        <v>51</v>
      </c>
      <c r="D18" s="64" t="s">
        <v>54</v>
      </c>
      <c r="E18" s="24" t="s">
        <v>55</v>
      </c>
      <c r="F18" s="10"/>
      <c r="G18" s="12"/>
    </row>
    <row r="19" spans="1:19" ht="291" customHeight="1">
      <c r="A19" s="20">
        <v>3</v>
      </c>
      <c r="B19" s="9" t="s">
        <v>50</v>
      </c>
      <c r="C19" s="9" t="s">
        <v>56</v>
      </c>
      <c r="D19" s="33" t="s">
        <v>57</v>
      </c>
      <c r="E19" s="21" t="s">
        <v>58</v>
      </c>
      <c r="F19" s="13"/>
      <c r="G19" s="12"/>
    </row>
    <row r="20" spans="1:19" ht="99.75" customHeight="1">
      <c r="A20" s="20">
        <v>4</v>
      </c>
      <c r="B20" s="9" t="s">
        <v>50</v>
      </c>
      <c r="C20" s="9" t="s">
        <v>59</v>
      </c>
      <c r="D20" s="15" t="s">
        <v>60</v>
      </c>
      <c r="E20" s="21" t="s">
        <v>61</v>
      </c>
      <c r="F20" s="10"/>
      <c r="G20" s="12"/>
    </row>
    <row r="21" spans="1:19" ht="177" customHeight="1">
      <c r="A21" s="20">
        <v>5</v>
      </c>
      <c r="B21" s="9" t="s">
        <v>50</v>
      </c>
      <c r="C21" s="9" t="s">
        <v>62</v>
      </c>
      <c r="D21" s="33" t="s">
        <v>63</v>
      </c>
      <c r="E21" s="21" t="s">
        <v>64</v>
      </c>
      <c r="F21" s="13"/>
      <c r="G21" s="12"/>
    </row>
    <row r="22" spans="1:19" ht="79.5" customHeight="1">
      <c r="A22" s="20">
        <v>6</v>
      </c>
      <c r="B22" s="9" t="s">
        <v>50</v>
      </c>
      <c r="C22" s="9" t="s">
        <v>65</v>
      </c>
      <c r="D22" s="10" t="s">
        <v>66</v>
      </c>
      <c r="E22" s="9" t="s">
        <v>67</v>
      </c>
      <c r="F22" s="10"/>
      <c r="G22" s="12"/>
    </row>
    <row r="23" spans="1:19" ht="67.2" customHeight="1">
      <c r="A23" s="20">
        <v>7</v>
      </c>
      <c r="B23" s="24" t="s">
        <v>50</v>
      </c>
      <c r="C23" s="24" t="s">
        <v>68</v>
      </c>
      <c r="D23" s="13" t="s">
        <v>69</v>
      </c>
      <c r="E23" s="24" t="s">
        <v>70</v>
      </c>
      <c r="F23" s="13"/>
      <c r="G23" s="93"/>
    </row>
    <row r="24" spans="1:19" ht="229.5" customHeight="1">
      <c r="A24" s="92">
        <v>8</v>
      </c>
      <c r="B24" s="80" t="s">
        <v>50</v>
      </c>
      <c r="C24" s="80" t="s">
        <v>71</v>
      </c>
      <c r="D24" s="56" t="s">
        <v>72</v>
      </c>
      <c r="E24" s="80" t="s">
        <v>73</v>
      </c>
      <c r="F24" s="90"/>
      <c r="G24" s="91"/>
      <c r="Q24" s="8"/>
      <c r="R24" s="8"/>
      <c r="S24" s="8"/>
    </row>
    <row r="25" spans="1:19" ht="98.25" customHeight="1">
      <c r="A25" s="92">
        <v>9</v>
      </c>
      <c r="B25" s="99" t="s">
        <v>50</v>
      </c>
      <c r="C25" s="100" t="s">
        <v>74</v>
      </c>
      <c r="D25" s="101" t="s">
        <v>75</v>
      </c>
      <c r="E25" s="102" t="s">
        <v>76</v>
      </c>
      <c r="F25" s="103"/>
      <c r="G25" s="103"/>
      <c r="H25" s="60"/>
      <c r="I25" s="60"/>
      <c r="J25" s="60"/>
      <c r="K25" s="60"/>
      <c r="L25" s="60"/>
      <c r="M25" s="60"/>
      <c r="N25" s="60"/>
      <c r="O25" s="60"/>
      <c r="P25" s="60"/>
      <c r="Q25" s="60"/>
      <c r="R25" s="8"/>
    </row>
    <row r="26" spans="1:19" ht="114" customHeight="1">
      <c r="A26" s="89">
        <v>10</v>
      </c>
      <c r="B26" s="80" t="s">
        <v>50</v>
      </c>
      <c r="C26" s="86" t="s">
        <v>77</v>
      </c>
      <c r="D26" s="61" t="s">
        <v>78</v>
      </c>
      <c r="E26" s="87" t="s">
        <v>79</v>
      </c>
      <c r="F26" s="88"/>
      <c r="G26" s="88"/>
      <c r="H26" s="60"/>
      <c r="I26" s="60"/>
      <c r="J26" s="60"/>
      <c r="K26" s="60"/>
      <c r="L26" s="60"/>
      <c r="M26" s="60"/>
      <c r="N26" s="60"/>
      <c r="O26" s="60"/>
      <c r="P26" s="60"/>
      <c r="Q26" s="60"/>
    </row>
    <row r="27" spans="1:19" ht="128.25" customHeight="1">
      <c r="A27" s="89">
        <v>11</v>
      </c>
      <c r="B27" s="99" t="s">
        <v>50</v>
      </c>
      <c r="C27" s="100" t="s">
        <v>77</v>
      </c>
      <c r="D27" s="101" t="s">
        <v>80</v>
      </c>
      <c r="E27" s="102" t="s">
        <v>81</v>
      </c>
      <c r="F27" s="103"/>
      <c r="G27" s="103"/>
      <c r="H27" s="60"/>
      <c r="I27" s="60"/>
      <c r="J27" s="60"/>
      <c r="K27" s="60"/>
      <c r="L27" s="60"/>
      <c r="M27" s="60"/>
      <c r="N27" s="60"/>
      <c r="O27" s="60"/>
      <c r="P27" s="60"/>
      <c r="Q27" s="60"/>
    </row>
    <row r="28" spans="1:19" ht="151.5" customHeight="1">
      <c r="A28" s="89">
        <v>12</v>
      </c>
      <c r="B28" s="94" t="s">
        <v>50</v>
      </c>
      <c r="C28" s="95" t="s">
        <v>77</v>
      </c>
      <c r="D28" s="96" t="s">
        <v>82</v>
      </c>
      <c r="E28" s="97" t="s">
        <v>83</v>
      </c>
      <c r="F28" s="98"/>
      <c r="G28" s="98"/>
      <c r="H28" s="60"/>
      <c r="I28" s="60"/>
      <c r="J28" s="60"/>
      <c r="K28" s="60"/>
      <c r="L28" s="60"/>
      <c r="M28" s="60"/>
      <c r="N28" s="60"/>
      <c r="O28" s="60"/>
      <c r="P28" s="60"/>
      <c r="Q28" s="60"/>
    </row>
    <row r="29" spans="1:19" ht="105" customHeight="1">
      <c r="A29" s="20"/>
      <c r="B29" s="72" t="s">
        <v>50</v>
      </c>
      <c r="C29" s="73" t="s">
        <v>84</v>
      </c>
      <c r="D29" s="74" t="s">
        <v>85</v>
      </c>
      <c r="E29" s="24" t="s">
        <v>86</v>
      </c>
      <c r="F29" s="13"/>
      <c r="G29" s="93"/>
    </row>
    <row r="30" spans="1:19" ht="90.75" customHeight="1">
      <c r="A30" s="20">
        <v>17</v>
      </c>
      <c r="B30" s="72" t="s">
        <v>50</v>
      </c>
      <c r="C30" s="73" t="s">
        <v>87</v>
      </c>
      <c r="D30" s="74" t="s">
        <v>88</v>
      </c>
      <c r="E30" s="70" t="s">
        <v>89</v>
      </c>
      <c r="F30" s="70"/>
      <c r="G30" s="70"/>
    </row>
    <row r="31" spans="1:19" ht="52.95" customHeight="1">
      <c r="A31" s="20">
        <v>18</v>
      </c>
      <c r="B31" s="77" t="s">
        <v>50</v>
      </c>
      <c r="C31" s="78" t="s">
        <v>87</v>
      </c>
      <c r="D31" s="71" t="s">
        <v>90</v>
      </c>
      <c r="E31" s="68" t="s">
        <v>91</v>
      </c>
      <c r="F31" s="71"/>
      <c r="G31" s="69"/>
    </row>
    <row r="32" spans="1:19" ht="30">
      <c r="F32" s="1"/>
    </row>
    <row r="33" spans="6:6" ht="30">
      <c r="F33" s="1"/>
    </row>
    <row r="34" spans="6:6" ht="30">
      <c r="F34" s="1"/>
    </row>
    <row r="35" spans="6:6" ht="30">
      <c r="F35" s="1"/>
    </row>
    <row r="36" spans="6:6" ht="30">
      <c r="F36" s="1"/>
    </row>
    <row r="37" spans="6:6" ht="30">
      <c r="F37" s="1"/>
    </row>
    <row r="38" spans="6:6" ht="30">
      <c r="F38" s="1"/>
    </row>
    <row r="39" spans="6:6" ht="30">
      <c r="F39" s="1"/>
    </row>
    <row r="40" spans="6:6" ht="49.2" customHeight="1">
      <c r="F40" s="1"/>
    </row>
    <row r="41" spans="6:6" ht="30">
      <c r="F41" s="1"/>
    </row>
    <row r="42" spans="6:6" ht="30">
      <c r="F42" s="1"/>
    </row>
    <row r="43" spans="6:6" ht="30">
      <c r="F43" s="1"/>
    </row>
    <row r="44" spans="6:6" ht="30">
      <c r="F44" s="1"/>
    </row>
    <row r="45" spans="6:6" ht="30">
      <c r="F45" s="1"/>
    </row>
    <row r="46" spans="6:6" ht="30">
      <c r="F46" s="1"/>
    </row>
    <row r="47" spans="6:6" ht="30">
      <c r="F47" s="1"/>
    </row>
    <row r="48" spans="6:6" ht="42.6" customHeight="1">
      <c r="F48" s="1"/>
    </row>
    <row r="49" spans="6:6" ht="30">
      <c r="F49" s="1"/>
    </row>
    <row r="50" spans="6:6" ht="34.200000000000003" customHeight="1">
      <c r="F50" s="1"/>
    </row>
    <row r="51" spans="6:6" ht="45.6" customHeight="1">
      <c r="F51" s="1"/>
    </row>
    <row r="52" spans="6:6" ht="40.950000000000003" customHeight="1">
      <c r="F52" s="1"/>
    </row>
    <row r="53" spans="6:6" ht="42.6" customHeight="1">
      <c r="F53" s="1"/>
    </row>
    <row r="54" spans="6:6" ht="30">
      <c r="F54" s="1"/>
    </row>
    <row r="55" spans="6:6" ht="46.95" customHeight="1">
      <c r="F55" s="1"/>
    </row>
    <row r="56" spans="6:6" ht="43.95" customHeight="1">
      <c r="F56" s="1"/>
    </row>
    <row r="57" spans="6:6" ht="52.95" customHeight="1">
      <c r="F57" s="1"/>
    </row>
    <row r="58" spans="6:6" ht="30">
      <c r="F58" s="1"/>
    </row>
    <row r="59" spans="6:6" ht="30">
      <c r="F59" s="1"/>
    </row>
    <row r="60" spans="6:6" ht="30">
      <c r="F60" s="1"/>
    </row>
    <row r="61" spans="6:6" ht="51" customHeight="1">
      <c r="F61" s="1"/>
    </row>
    <row r="62" spans="6:6" ht="37.950000000000003" customHeight="1">
      <c r="F62" s="1"/>
    </row>
    <row r="63" spans="6:6" ht="30">
      <c r="F63" s="1"/>
    </row>
    <row r="64" spans="6:6" ht="30">
      <c r="F64" s="1"/>
    </row>
    <row r="65" spans="6:6" ht="30">
      <c r="F65" s="1"/>
    </row>
    <row r="66" spans="6:6" ht="30">
      <c r="F66" s="1"/>
    </row>
    <row r="67" spans="6:6" ht="30">
      <c r="F67" s="1"/>
    </row>
    <row r="68" spans="6:6" ht="30">
      <c r="F68" s="1"/>
    </row>
    <row r="69" spans="6:6" ht="30">
      <c r="F69" s="1"/>
    </row>
    <row r="70" spans="6:6" ht="30">
      <c r="F70" s="1"/>
    </row>
    <row r="71" spans="6:6" ht="30">
      <c r="F71" s="1"/>
    </row>
    <row r="72" spans="6:6" ht="30">
      <c r="F72" s="1"/>
    </row>
    <row r="73" spans="6:6" ht="30">
      <c r="F73" s="1"/>
    </row>
    <row r="74" spans="6:6" ht="30">
      <c r="F74" s="1"/>
    </row>
    <row r="75" spans="6:6" ht="30">
      <c r="F75" s="1"/>
    </row>
    <row r="76" spans="6:6" ht="30">
      <c r="F76" s="1"/>
    </row>
    <row r="77" spans="6:6" ht="30">
      <c r="F77" s="1"/>
    </row>
    <row r="78" spans="6:6" ht="30">
      <c r="F78" s="1"/>
    </row>
    <row r="79" spans="6:6" ht="30">
      <c r="F79" s="1"/>
    </row>
    <row r="80" spans="6:6" ht="30">
      <c r="F80" s="1"/>
    </row>
    <row r="81" spans="6:6" ht="30">
      <c r="F81" s="1"/>
    </row>
    <row r="82" spans="6:6" ht="30">
      <c r="F82" s="1"/>
    </row>
    <row r="83" spans="6:6" ht="30">
      <c r="F83" s="1"/>
    </row>
    <row r="84" spans="6:6" ht="30">
      <c r="F84" s="1"/>
    </row>
    <row r="85" spans="6:6" ht="30">
      <c r="F85" s="1"/>
    </row>
    <row r="86" spans="6:6" ht="30">
      <c r="F86" s="1"/>
    </row>
    <row r="87" spans="6:6" ht="30">
      <c r="F87" s="1"/>
    </row>
    <row r="88" spans="6:6" ht="30">
      <c r="F88" s="1"/>
    </row>
    <row r="89" spans="6:6" ht="30">
      <c r="F89" s="1"/>
    </row>
    <row r="90" spans="6:6" ht="30">
      <c r="F90" s="1"/>
    </row>
    <row r="91" spans="6:6" ht="30">
      <c r="F91" s="1"/>
    </row>
    <row r="92" spans="6:6" ht="30">
      <c r="F92" s="1"/>
    </row>
    <row r="93" spans="6:6" ht="30">
      <c r="F93" s="1"/>
    </row>
    <row r="94" spans="6:6" ht="30">
      <c r="F94" s="1"/>
    </row>
    <row r="95" spans="6:6" ht="30">
      <c r="F95" s="1"/>
    </row>
    <row r="96" spans="6:6" ht="30">
      <c r="F96" s="1"/>
    </row>
    <row r="97" spans="6:6" ht="30">
      <c r="F97" s="1"/>
    </row>
    <row r="98" spans="6:6" ht="30">
      <c r="F98" s="1"/>
    </row>
    <row r="99" spans="6:6" ht="30">
      <c r="F99" s="1"/>
    </row>
    <row r="100" spans="6:6" ht="30">
      <c r="F100" s="1"/>
    </row>
    <row r="101" spans="6:6" ht="30">
      <c r="F101" s="1"/>
    </row>
    <row r="102" spans="6:6" ht="30">
      <c r="F102" s="1"/>
    </row>
    <row r="103" spans="6:6" ht="30">
      <c r="F103" s="1"/>
    </row>
    <row r="104" spans="6:6" ht="30">
      <c r="F104" s="1"/>
    </row>
    <row r="105" spans="6:6" ht="30">
      <c r="F105" s="1"/>
    </row>
    <row r="106" spans="6:6" ht="30">
      <c r="F106" s="1"/>
    </row>
    <row r="107" spans="6:6" ht="30">
      <c r="F107" s="1"/>
    </row>
    <row r="108" spans="6:6" ht="30">
      <c r="F108" s="1"/>
    </row>
    <row r="109" spans="6:6" ht="30">
      <c r="F109" s="1"/>
    </row>
    <row r="110" spans="6:6" ht="30">
      <c r="F110" s="1"/>
    </row>
    <row r="111" spans="6:6" ht="30">
      <c r="F111" s="1"/>
    </row>
    <row r="112" spans="6:6" ht="30">
      <c r="F112" s="1"/>
    </row>
    <row r="113" spans="6:6" ht="30">
      <c r="F113" s="1"/>
    </row>
    <row r="114" spans="6:6" ht="30">
      <c r="F114" s="1"/>
    </row>
    <row r="115" spans="6:6" ht="30">
      <c r="F115" s="1"/>
    </row>
    <row r="116" spans="6:6" ht="30">
      <c r="F116" s="1"/>
    </row>
    <row r="117" spans="6:6" ht="30">
      <c r="F117" s="1"/>
    </row>
    <row r="118" spans="6:6" ht="30">
      <c r="F118" s="1"/>
    </row>
    <row r="119" spans="6:6" ht="30">
      <c r="F119" s="1"/>
    </row>
    <row r="120" spans="6:6" ht="30">
      <c r="F120" s="1"/>
    </row>
    <row r="121" spans="6:6" ht="30">
      <c r="F121" s="1"/>
    </row>
    <row r="122" spans="6:6" ht="30">
      <c r="F122" s="1"/>
    </row>
    <row r="123" spans="6:6" ht="30">
      <c r="F123" s="1"/>
    </row>
    <row r="124" spans="6:6" ht="30">
      <c r="F124" s="1"/>
    </row>
    <row r="125" spans="6:6" ht="30">
      <c r="F125" s="1"/>
    </row>
    <row r="126" spans="6:6" ht="30">
      <c r="F126" s="1"/>
    </row>
    <row r="127" spans="6:6" ht="30">
      <c r="F127" s="1"/>
    </row>
    <row r="128" spans="6:6" ht="30">
      <c r="F128" s="1"/>
    </row>
    <row r="129" spans="6:6" ht="30">
      <c r="F129" s="1"/>
    </row>
    <row r="130" spans="6:6" ht="30">
      <c r="F130" s="1"/>
    </row>
    <row r="131" spans="6:6" ht="30">
      <c r="F131" s="1"/>
    </row>
    <row r="132" spans="6:6" ht="30">
      <c r="F132" s="1"/>
    </row>
    <row r="133" spans="6:6" ht="30">
      <c r="F133" s="1"/>
    </row>
    <row r="134" spans="6:6" ht="30">
      <c r="F134" s="1"/>
    </row>
    <row r="135" spans="6:6" ht="30">
      <c r="F135" s="1"/>
    </row>
    <row r="136" spans="6:6" ht="30">
      <c r="F136" s="1"/>
    </row>
    <row r="137" spans="6:6" ht="30">
      <c r="F137" s="1"/>
    </row>
    <row r="138" spans="6:6" ht="30">
      <c r="F138" s="1"/>
    </row>
    <row r="139" spans="6:6" ht="30">
      <c r="F139" s="1"/>
    </row>
    <row r="140" spans="6:6" ht="30">
      <c r="F140" s="1"/>
    </row>
    <row r="141" spans="6:6" ht="30">
      <c r="F141" s="1"/>
    </row>
    <row r="142" spans="6:6" ht="30">
      <c r="F142" s="1"/>
    </row>
    <row r="143" spans="6:6" ht="30">
      <c r="F143" s="1"/>
    </row>
    <row r="144" spans="6:6" ht="30">
      <c r="F144" s="1"/>
    </row>
    <row r="145" spans="6:6" ht="30">
      <c r="F145" s="1"/>
    </row>
    <row r="146" spans="6:6" ht="30">
      <c r="F146" s="1"/>
    </row>
    <row r="147" spans="6:6" ht="30">
      <c r="F147" s="1"/>
    </row>
    <row r="148" spans="6:6" ht="30">
      <c r="F148" s="1"/>
    </row>
    <row r="149" spans="6:6" ht="30">
      <c r="F149" s="1"/>
    </row>
    <row r="150" spans="6:6" ht="30">
      <c r="F150" s="1"/>
    </row>
    <row r="151" spans="6:6" ht="30">
      <c r="F151" s="1"/>
    </row>
    <row r="152" spans="6:6" ht="30">
      <c r="F152" s="1"/>
    </row>
    <row r="153" spans="6:6" ht="30">
      <c r="F153" s="1"/>
    </row>
    <row r="154" spans="6:6" ht="30">
      <c r="F154" s="1"/>
    </row>
    <row r="155" spans="6:6" ht="30">
      <c r="F155" s="1"/>
    </row>
    <row r="156" spans="6:6" ht="30">
      <c r="F156" s="1"/>
    </row>
    <row r="157" spans="6:6" ht="30">
      <c r="F157" s="1"/>
    </row>
    <row r="158" spans="6:6" ht="30">
      <c r="F158" s="1"/>
    </row>
    <row r="159" spans="6:6" ht="30">
      <c r="F159" s="1"/>
    </row>
    <row r="160" spans="6:6" ht="30">
      <c r="F160" s="1"/>
    </row>
    <row r="161" spans="6:6" ht="30">
      <c r="F161" s="1"/>
    </row>
    <row r="162" spans="6:6" ht="30">
      <c r="F162" s="1"/>
    </row>
    <row r="163" spans="6:6" ht="30">
      <c r="F163" s="1"/>
    </row>
    <row r="164" spans="6:6" ht="30">
      <c r="F164" s="1"/>
    </row>
    <row r="165" spans="6:6" ht="30">
      <c r="F165" s="1"/>
    </row>
    <row r="166" spans="6:6" ht="30">
      <c r="F166" s="1"/>
    </row>
    <row r="167" spans="6:6" ht="30">
      <c r="F167" s="1"/>
    </row>
    <row r="168" spans="6:6" ht="30">
      <c r="F168" s="1"/>
    </row>
    <row r="169" spans="6:6" ht="30">
      <c r="F169" s="1"/>
    </row>
    <row r="170" spans="6:6" ht="30">
      <c r="F170" s="1"/>
    </row>
    <row r="171" spans="6:6" ht="30">
      <c r="F171" s="1"/>
    </row>
    <row r="172" spans="6:6" ht="30">
      <c r="F172" s="1"/>
    </row>
    <row r="173" spans="6:6" ht="30">
      <c r="F173" s="1"/>
    </row>
    <row r="174" spans="6:6" ht="30">
      <c r="F174" s="1"/>
    </row>
    <row r="175" spans="6:6" ht="30">
      <c r="F175" s="1"/>
    </row>
    <row r="176" spans="6:6" ht="30">
      <c r="F176" s="1"/>
    </row>
    <row r="177" spans="6:6" ht="30">
      <c r="F177" s="1"/>
    </row>
    <row r="178" spans="6:6" ht="30">
      <c r="F178" s="1"/>
    </row>
    <row r="179" spans="6:6" ht="30">
      <c r="F179" s="1"/>
    </row>
    <row r="180" spans="6:6" ht="30">
      <c r="F180" s="1"/>
    </row>
    <row r="181" spans="6:6" ht="30">
      <c r="F181" s="1"/>
    </row>
    <row r="182" spans="6:6" ht="30">
      <c r="F182" s="1"/>
    </row>
    <row r="183" spans="6:6" ht="30">
      <c r="F183" s="1"/>
    </row>
    <row r="184" spans="6:6" ht="30">
      <c r="F184" s="1"/>
    </row>
    <row r="185" spans="6:6" ht="30">
      <c r="F185" s="1"/>
    </row>
    <row r="186" spans="6:6" ht="30">
      <c r="F186" s="1"/>
    </row>
    <row r="187" spans="6:6" ht="30">
      <c r="F187" s="1"/>
    </row>
    <row r="188" spans="6:6" ht="30">
      <c r="F188" s="1"/>
    </row>
    <row r="189" spans="6:6" ht="30">
      <c r="F189" s="1"/>
    </row>
    <row r="190" spans="6:6" ht="30">
      <c r="F190" s="1"/>
    </row>
    <row r="191" spans="6:6" ht="30">
      <c r="F191" s="1"/>
    </row>
    <row r="192" spans="6:6" ht="30">
      <c r="F192" s="1"/>
    </row>
    <row r="193" spans="6:6" ht="30">
      <c r="F193" s="1"/>
    </row>
    <row r="194" spans="6:6" ht="30">
      <c r="F194" s="1"/>
    </row>
    <row r="195" spans="6:6" ht="30">
      <c r="F195" s="1"/>
    </row>
    <row r="196" spans="6:6" ht="30">
      <c r="F196" s="1"/>
    </row>
    <row r="197" spans="6:6" ht="30">
      <c r="F197" s="1"/>
    </row>
    <row r="198" spans="6:6" ht="30">
      <c r="F198" s="1"/>
    </row>
    <row r="199" spans="6:6" ht="30">
      <c r="F199" s="1"/>
    </row>
    <row r="200" spans="6:6" ht="30">
      <c r="F200" s="1"/>
    </row>
    <row r="201" spans="6:6" ht="30">
      <c r="F201" s="1"/>
    </row>
    <row r="202" spans="6:6" ht="30">
      <c r="F202" s="1"/>
    </row>
    <row r="203" spans="6:6" ht="30">
      <c r="F203" s="1"/>
    </row>
    <row r="204" spans="6:6" ht="30">
      <c r="F204" s="1"/>
    </row>
    <row r="205" spans="6:6" ht="30">
      <c r="F205" s="1"/>
    </row>
    <row r="206" spans="6:6" ht="30">
      <c r="F206" s="1"/>
    </row>
    <row r="207" spans="6:6" ht="30">
      <c r="F207" s="1"/>
    </row>
    <row r="208" spans="6:6" ht="30">
      <c r="F208" s="1"/>
    </row>
    <row r="209" spans="6:6" ht="30">
      <c r="F209" s="1"/>
    </row>
    <row r="210" spans="6:6" ht="30">
      <c r="F210" s="1"/>
    </row>
    <row r="211" spans="6:6" ht="30">
      <c r="F211" s="1"/>
    </row>
    <row r="212" spans="6:6" ht="30">
      <c r="F212" s="1"/>
    </row>
    <row r="213" spans="6:6" ht="30">
      <c r="F213" s="1"/>
    </row>
    <row r="214" spans="6:6" ht="30">
      <c r="F214" s="1"/>
    </row>
    <row r="215" spans="6:6" ht="30">
      <c r="F215" s="1"/>
    </row>
    <row r="216" spans="6:6" ht="30">
      <c r="F216" s="1"/>
    </row>
    <row r="217" spans="6:6" ht="30">
      <c r="F217" s="1"/>
    </row>
    <row r="218" spans="6:6" ht="30">
      <c r="F218" s="1"/>
    </row>
    <row r="219" spans="6:6" ht="30">
      <c r="F219" s="1"/>
    </row>
    <row r="220" spans="6:6" ht="30">
      <c r="F220" s="1"/>
    </row>
    <row r="221" spans="6:6" ht="30">
      <c r="F221" s="1"/>
    </row>
    <row r="222" spans="6:6" ht="30">
      <c r="F222" s="1"/>
    </row>
    <row r="223" spans="6:6" ht="30">
      <c r="F223" s="1"/>
    </row>
    <row r="224" spans="6:6" ht="30">
      <c r="F224" s="1"/>
    </row>
    <row r="225" spans="6:6" ht="30">
      <c r="F225" s="1"/>
    </row>
    <row r="226" spans="6:6" ht="30">
      <c r="F226" s="1"/>
    </row>
    <row r="227" spans="6:6" ht="30">
      <c r="F227" s="1"/>
    </row>
    <row r="228" spans="6:6" ht="30">
      <c r="F228" s="1"/>
    </row>
    <row r="229" spans="6:6" ht="30">
      <c r="F229" s="1"/>
    </row>
    <row r="230" spans="6:6" ht="30">
      <c r="F230" s="1"/>
    </row>
    <row r="231" spans="6:6" ht="30">
      <c r="F231" s="1"/>
    </row>
    <row r="232" spans="6:6" ht="30">
      <c r="F232" s="1"/>
    </row>
    <row r="233" spans="6:6" ht="30">
      <c r="F233" s="1"/>
    </row>
    <row r="234" spans="6:6" ht="30">
      <c r="F234" s="1"/>
    </row>
    <row r="235" spans="6:6" ht="30">
      <c r="F235" s="1"/>
    </row>
    <row r="236" spans="6:6" ht="30">
      <c r="F236" s="1"/>
    </row>
    <row r="237" spans="6:6" ht="30">
      <c r="F237" s="1"/>
    </row>
    <row r="238" spans="6:6" ht="30">
      <c r="F238" s="1"/>
    </row>
    <row r="239" spans="6:6" ht="30">
      <c r="F239" s="1"/>
    </row>
    <row r="240" spans="6:6" ht="30">
      <c r="F240" s="1"/>
    </row>
    <row r="241" spans="6:6" ht="30">
      <c r="F241" s="1"/>
    </row>
    <row r="242" spans="6:6" ht="30">
      <c r="F242" s="1"/>
    </row>
    <row r="243" spans="6:6" ht="30">
      <c r="F243" s="1"/>
    </row>
    <row r="244" spans="6:6" ht="30">
      <c r="F244" s="1"/>
    </row>
    <row r="245" spans="6:6" ht="30">
      <c r="F245" s="1"/>
    </row>
    <row r="246" spans="6:6" ht="30">
      <c r="F246" s="1"/>
    </row>
    <row r="247" spans="6:6" ht="30">
      <c r="F247" s="1"/>
    </row>
    <row r="248" spans="6:6" ht="30">
      <c r="F248" s="1"/>
    </row>
    <row r="249" spans="6:6" ht="30">
      <c r="F249" s="1"/>
    </row>
    <row r="250" spans="6:6" ht="30">
      <c r="F250" s="1"/>
    </row>
    <row r="251" spans="6:6" ht="30">
      <c r="F251" s="1"/>
    </row>
    <row r="252" spans="6:6" ht="30">
      <c r="F252" s="1"/>
    </row>
    <row r="253" spans="6:6" ht="30">
      <c r="F253" s="1"/>
    </row>
    <row r="254" spans="6:6" ht="30">
      <c r="F254" s="1"/>
    </row>
    <row r="255" spans="6:6" ht="30">
      <c r="F255" s="1"/>
    </row>
    <row r="256" spans="6:6" ht="30">
      <c r="F256" s="1"/>
    </row>
    <row r="257" spans="6:6" ht="30">
      <c r="F257" s="1"/>
    </row>
    <row r="258" spans="6:6" ht="30">
      <c r="F258" s="1"/>
    </row>
    <row r="259" spans="6:6" ht="30">
      <c r="F259" s="1"/>
    </row>
    <row r="260" spans="6:6" ht="30">
      <c r="F260" s="1"/>
    </row>
    <row r="261" spans="6:6" ht="30">
      <c r="F261" s="1"/>
    </row>
    <row r="262" spans="6:6" ht="30">
      <c r="F262" s="1"/>
    </row>
    <row r="263" spans="6:6" ht="30">
      <c r="F263" s="1"/>
    </row>
    <row r="264" spans="6:6" ht="30">
      <c r="F264" s="1"/>
    </row>
    <row r="265" spans="6:6" ht="30">
      <c r="F265" s="1"/>
    </row>
    <row r="266" spans="6:6" ht="30">
      <c r="F266" s="1"/>
    </row>
    <row r="267" spans="6:6" ht="30">
      <c r="F267" s="1"/>
    </row>
    <row r="268" spans="6:6" ht="30">
      <c r="F268" s="1"/>
    </row>
    <row r="269" spans="6:6" ht="30">
      <c r="F269" s="1"/>
    </row>
    <row r="270" spans="6:6" ht="30">
      <c r="F270" s="1"/>
    </row>
    <row r="271" spans="6:6" ht="30">
      <c r="F271" s="1"/>
    </row>
    <row r="272" spans="6:6" ht="30">
      <c r="F272" s="1"/>
    </row>
    <row r="273" spans="6:6" ht="30">
      <c r="F273" s="1"/>
    </row>
    <row r="274" spans="6:6" ht="30">
      <c r="F274" s="1"/>
    </row>
    <row r="275" spans="6:6" ht="30">
      <c r="F275" s="1"/>
    </row>
    <row r="276" spans="6:6" ht="30">
      <c r="F276" s="1"/>
    </row>
    <row r="277" spans="6:6" ht="30">
      <c r="F277" s="1"/>
    </row>
    <row r="278" spans="6:6" ht="30">
      <c r="F278" s="1"/>
    </row>
    <row r="279" spans="6:6" ht="30">
      <c r="F279" s="1"/>
    </row>
    <row r="280" spans="6:6" ht="30">
      <c r="F280" s="1"/>
    </row>
    <row r="281" spans="6:6" ht="30">
      <c r="F281" s="1"/>
    </row>
    <row r="282" spans="6:6" ht="30">
      <c r="F282" s="1"/>
    </row>
    <row r="283" spans="6:6" ht="30">
      <c r="F283" s="1"/>
    </row>
    <row r="284" spans="6:6" ht="30">
      <c r="F284" s="1"/>
    </row>
    <row r="285" spans="6:6" ht="30">
      <c r="F285" s="1"/>
    </row>
    <row r="286" spans="6:6" ht="30">
      <c r="F286" s="1"/>
    </row>
    <row r="287" spans="6:6" ht="30">
      <c r="F287" s="1"/>
    </row>
    <row r="288" spans="6:6" ht="30">
      <c r="F288" s="1"/>
    </row>
    <row r="289" spans="6:6" ht="30">
      <c r="F289" s="1"/>
    </row>
    <row r="290" spans="6:6" ht="30">
      <c r="F290" s="1"/>
    </row>
    <row r="291" spans="6:6" ht="30">
      <c r="F291" s="1"/>
    </row>
    <row r="292" spans="6:6" ht="30">
      <c r="F292" s="1"/>
    </row>
    <row r="293" spans="6:6" ht="30">
      <c r="F293" s="1"/>
    </row>
    <row r="294" spans="6:6" ht="30">
      <c r="F294" s="1"/>
    </row>
    <row r="295" spans="6:6" ht="30">
      <c r="F295" s="1"/>
    </row>
    <row r="296" spans="6:6" ht="30">
      <c r="F296" s="1"/>
    </row>
    <row r="297" spans="6:6" ht="30">
      <c r="F297" s="1"/>
    </row>
    <row r="298" spans="6:6" ht="30">
      <c r="F298" s="1"/>
    </row>
    <row r="299" spans="6:6" ht="30">
      <c r="F299" s="1"/>
    </row>
    <row r="300" spans="6:6" ht="30">
      <c r="F300" s="1"/>
    </row>
    <row r="301" spans="6:6" ht="30">
      <c r="F301" s="1"/>
    </row>
    <row r="302" spans="6:6" ht="30">
      <c r="F302" s="1"/>
    </row>
    <row r="303" spans="6:6" ht="30">
      <c r="F303" s="1"/>
    </row>
    <row r="304" spans="6:6" ht="30">
      <c r="F304" s="1"/>
    </row>
    <row r="305" spans="6:6" ht="30">
      <c r="F305" s="1"/>
    </row>
    <row r="306" spans="6:6" ht="30">
      <c r="F306" s="1"/>
    </row>
    <row r="307" spans="6:6" ht="30">
      <c r="F307" s="1"/>
    </row>
    <row r="308" spans="6:6" ht="30">
      <c r="F308" s="1"/>
    </row>
    <row r="309" spans="6:6" ht="30">
      <c r="F309" s="1"/>
    </row>
    <row r="310" spans="6:6" ht="30">
      <c r="F310" s="1"/>
    </row>
    <row r="311" spans="6:6" ht="30">
      <c r="F311" s="1"/>
    </row>
    <row r="312" spans="6:6" ht="30">
      <c r="F312" s="1"/>
    </row>
    <row r="313" spans="6:6" ht="30">
      <c r="F313" s="1"/>
    </row>
    <row r="314" spans="6:6" ht="30">
      <c r="F314" s="1"/>
    </row>
    <row r="315" spans="6:6" ht="30">
      <c r="F315" s="1"/>
    </row>
    <row r="316" spans="6:6" ht="30">
      <c r="F316" s="1"/>
    </row>
    <row r="317" spans="6:6" ht="30">
      <c r="F317" s="1"/>
    </row>
    <row r="318" spans="6:6" ht="30">
      <c r="F318" s="1"/>
    </row>
    <row r="319" spans="6:6" ht="30">
      <c r="F319" s="1"/>
    </row>
    <row r="320" spans="6:6" ht="30">
      <c r="F320" s="1"/>
    </row>
    <row r="321" spans="6:6" ht="30">
      <c r="F321" s="1"/>
    </row>
    <row r="322" spans="6:6" ht="30">
      <c r="F322" s="1"/>
    </row>
    <row r="323" spans="6:6" ht="30">
      <c r="F323" s="1"/>
    </row>
    <row r="324" spans="6:6" ht="30">
      <c r="F324" s="1"/>
    </row>
    <row r="325" spans="6:6" ht="30">
      <c r="F325" s="1"/>
    </row>
    <row r="326" spans="6:6" ht="30">
      <c r="F326" s="1"/>
    </row>
    <row r="327" spans="6:6" ht="30">
      <c r="F327" s="1"/>
    </row>
    <row r="328" spans="6:6" ht="30">
      <c r="F328" s="1"/>
    </row>
    <row r="329" spans="6:6" ht="30">
      <c r="F329" s="1"/>
    </row>
    <row r="330" spans="6:6" ht="30">
      <c r="F330" s="1"/>
    </row>
    <row r="331" spans="6:6" ht="30">
      <c r="F331" s="1"/>
    </row>
    <row r="332" spans="6:6" ht="30">
      <c r="F332" s="1"/>
    </row>
    <row r="333" spans="6:6" ht="30">
      <c r="F333" s="1"/>
    </row>
    <row r="334" spans="6:6" ht="30">
      <c r="F334" s="1"/>
    </row>
    <row r="335" spans="6:6" ht="30">
      <c r="F335" s="1"/>
    </row>
    <row r="336" spans="6:6" ht="30">
      <c r="F336" s="1"/>
    </row>
    <row r="337" spans="6:6" ht="30">
      <c r="F337" s="1"/>
    </row>
    <row r="338" spans="6:6" ht="30">
      <c r="F338" s="1"/>
    </row>
    <row r="339" spans="6:6" ht="30">
      <c r="F339" s="1"/>
    </row>
    <row r="340" spans="6:6" ht="30">
      <c r="F340" s="1"/>
    </row>
    <row r="341" spans="6:6" ht="30">
      <c r="F341" s="1"/>
    </row>
    <row r="342" spans="6:6" ht="30">
      <c r="F342" s="1"/>
    </row>
    <row r="343" spans="6:6" ht="30">
      <c r="F343" s="1"/>
    </row>
    <row r="344" spans="6:6" ht="30">
      <c r="F344" s="1"/>
    </row>
    <row r="345" spans="6:6" ht="30">
      <c r="F345" s="1"/>
    </row>
    <row r="346" spans="6:6" ht="30">
      <c r="F346" s="1"/>
    </row>
    <row r="347" spans="6:6" ht="30">
      <c r="F347" s="1"/>
    </row>
    <row r="348" spans="6:6" ht="30">
      <c r="F348" s="1"/>
    </row>
    <row r="349" spans="6:6" ht="30">
      <c r="F349" s="1"/>
    </row>
    <row r="350" spans="6:6" ht="30">
      <c r="F350" s="1"/>
    </row>
    <row r="351" spans="6:6" ht="30">
      <c r="F351" s="1"/>
    </row>
    <row r="352" spans="6:6" ht="30">
      <c r="F352" s="1"/>
    </row>
    <row r="353" spans="6:6" ht="30">
      <c r="F353" s="1"/>
    </row>
    <row r="354" spans="6:6" ht="30">
      <c r="F354" s="1"/>
    </row>
    <row r="355" spans="6:6" ht="30">
      <c r="F355" s="1"/>
    </row>
    <row r="356" spans="6:6" ht="30">
      <c r="F356" s="1"/>
    </row>
    <row r="357" spans="6:6" ht="30">
      <c r="F357" s="1"/>
    </row>
    <row r="358" spans="6:6" ht="30">
      <c r="F358" s="1"/>
    </row>
    <row r="359" spans="6:6" ht="30">
      <c r="F359" s="1"/>
    </row>
    <row r="360" spans="6:6" ht="30">
      <c r="F360" s="1"/>
    </row>
    <row r="361" spans="6:6" ht="30">
      <c r="F361" s="1"/>
    </row>
    <row r="362" spans="6:6" ht="30">
      <c r="F362" s="1"/>
    </row>
    <row r="363" spans="6:6" ht="30">
      <c r="F363" s="1"/>
    </row>
    <row r="364" spans="6:6" ht="30">
      <c r="F364" s="1"/>
    </row>
    <row r="365" spans="6:6" ht="30">
      <c r="F365" s="1"/>
    </row>
    <row r="366" spans="6:6" ht="30">
      <c r="F366" s="1"/>
    </row>
    <row r="367" spans="6:6" ht="30">
      <c r="F367" s="1"/>
    </row>
    <row r="368" spans="6:6" ht="30">
      <c r="F368" s="1"/>
    </row>
    <row r="369" spans="6:6" ht="30">
      <c r="F369" s="1"/>
    </row>
    <row r="370" spans="6:6" ht="30">
      <c r="F370" s="1"/>
    </row>
    <row r="371" spans="6:6" ht="30">
      <c r="F371" s="1"/>
    </row>
    <row r="372" spans="6:6" ht="30">
      <c r="F372" s="1"/>
    </row>
    <row r="373" spans="6:6" ht="30">
      <c r="F373" s="1"/>
    </row>
    <row r="374" spans="6:6" ht="30">
      <c r="F374" s="1"/>
    </row>
    <row r="375" spans="6:6" ht="30">
      <c r="F375" s="1"/>
    </row>
    <row r="376" spans="6:6" ht="30">
      <c r="F376" s="1"/>
    </row>
    <row r="377" spans="6:6" ht="30">
      <c r="F377" s="1"/>
    </row>
    <row r="378" spans="6:6" ht="30">
      <c r="F378" s="1"/>
    </row>
    <row r="379" spans="6:6" ht="30">
      <c r="F379" s="1"/>
    </row>
    <row r="380" spans="6:6" ht="30">
      <c r="F380" s="1"/>
    </row>
    <row r="381" spans="6:6" ht="30">
      <c r="F381" s="1"/>
    </row>
    <row r="382" spans="6:6" ht="30">
      <c r="F382" s="1"/>
    </row>
    <row r="383" spans="6:6" ht="30">
      <c r="F383" s="1"/>
    </row>
    <row r="384" spans="6:6" ht="30">
      <c r="F384" s="1"/>
    </row>
    <row r="385" spans="6:6" ht="30">
      <c r="F385" s="1"/>
    </row>
    <row r="386" spans="6:6" ht="30">
      <c r="F386" s="1"/>
    </row>
    <row r="387" spans="6:6" ht="30">
      <c r="F387" s="1"/>
    </row>
    <row r="388" spans="6:6" ht="30">
      <c r="F388" s="1"/>
    </row>
    <row r="389" spans="6:6" ht="30">
      <c r="F389" s="1"/>
    </row>
    <row r="390" spans="6:6" ht="30">
      <c r="F390" s="1"/>
    </row>
    <row r="391" spans="6:6" ht="30">
      <c r="F391" s="1"/>
    </row>
    <row r="392" spans="6:6" ht="30">
      <c r="F392" s="1"/>
    </row>
    <row r="393" spans="6:6" ht="30">
      <c r="F393" s="1"/>
    </row>
    <row r="394" spans="6:6" ht="30">
      <c r="F394" s="1"/>
    </row>
    <row r="395" spans="6:6" ht="30">
      <c r="F395" s="1"/>
    </row>
    <row r="396" spans="6:6" ht="30">
      <c r="F396" s="1"/>
    </row>
    <row r="397" spans="6:6" ht="30">
      <c r="F397" s="1"/>
    </row>
    <row r="398" spans="6:6" ht="30">
      <c r="F398" s="1"/>
    </row>
    <row r="399" spans="6:6" ht="30">
      <c r="F399" s="1"/>
    </row>
    <row r="400" spans="6:6" ht="30">
      <c r="F400" s="1"/>
    </row>
    <row r="401" spans="6:6" ht="30">
      <c r="F401" s="1"/>
    </row>
    <row r="402" spans="6:6" ht="30">
      <c r="F402" s="1"/>
    </row>
    <row r="403" spans="6:6" ht="30">
      <c r="F403" s="1"/>
    </row>
    <row r="404" spans="6:6" ht="30">
      <c r="F404" s="1"/>
    </row>
    <row r="405" spans="6:6" ht="30">
      <c r="F405" s="1"/>
    </row>
    <row r="406" spans="6:6" ht="30">
      <c r="F406" s="1"/>
    </row>
    <row r="407" spans="6:6" ht="30">
      <c r="F407" s="1"/>
    </row>
    <row r="408" spans="6:6" ht="30">
      <c r="F408" s="1"/>
    </row>
    <row r="409" spans="6:6" ht="30">
      <c r="F409" s="1"/>
    </row>
    <row r="410" spans="6:6" ht="30">
      <c r="F410" s="1"/>
    </row>
    <row r="411" spans="6:6" ht="30">
      <c r="F411" s="1"/>
    </row>
    <row r="412" spans="6:6" ht="30">
      <c r="F412" s="1"/>
    </row>
    <row r="413" spans="6:6" ht="30">
      <c r="F413" s="1"/>
    </row>
    <row r="414" spans="6:6" ht="30">
      <c r="F414" s="1"/>
    </row>
    <row r="415" spans="6:6" ht="30">
      <c r="F415" s="1"/>
    </row>
    <row r="416" spans="6:6" ht="30">
      <c r="F416" s="1"/>
    </row>
    <row r="417" spans="6:6" ht="30">
      <c r="F417" s="1"/>
    </row>
    <row r="418" spans="6:6" ht="30">
      <c r="F418" s="1"/>
    </row>
    <row r="419" spans="6:6" ht="30">
      <c r="F419" s="1"/>
    </row>
    <row r="420" spans="6:6" ht="30">
      <c r="F420" s="1"/>
    </row>
    <row r="421" spans="6:6" ht="30">
      <c r="F421" s="1"/>
    </row>
    <row r="422" spans="6:6" ht="30">
      <c r="F422" s="1"/>
    </row>
    <row r="423" spans="6:6" ht="30">
      <c r="F423" s="1"/>
    </row>
    <row r="424" spans="6:6" ht="30">
      <c r="F424" s="1"/>
    </row>
    <row r="425" spans="6:6" ht="30">
      <c r="F425" s="1"/>
    </row>
    <row r="426" spans="6:6" ht="30">
      <c r="F426" s="1"/>
    </row>
    <row r="427" spans="6:6" ht="30">
      <c r="F427" s="1"/>
    </row>
    <row r="428" spans="6:6" ht="30">
      <c r="F428" s="1"/>
    </row>
    <row r="429" spans="6:6" ht="30">
      <c r="F429" s="1"/>
    </row>
    <row r="430" spans="6:6" ht="30">
      <c r="F430" s="1"/>
    </row>
    <row r="431" spans="6:6" ht="30">
      <c r="F431" s="1"/>
    </row>
    <row r="432" spans="6:6" ht="30">
      <c r="F432" s="1"/>
    </row>
    <row r="433" spans="6:6" ht="30">
      <c r="F433" s="1"/>
    </row>
    <row r="434" spans="6:6" ht="30">
      <c r="F434" s="1"/>
    </row>
    <row r="435" spans="6:6" ht="30">
      <c r="F435" s="1"/>
    </row>
    <row r="436" spans="6:6" ht="30">
      <c r="F436" s="1"/>
    </row>
    <row r="437" spans="6:6" ht="30">
      <c r="F437" s="1"/>
    </row>
    <row r="438" spans="6:6" ht="30">
      <c r="F438" s="1"/>
    </row>
    <row r="439" spans="6:6" ht="30">
      <c r="F439" s="1"/>
    </row>
    <row r="440" spans="6:6" ht="30">
      <c r="F440" s="1"/>
    </row>
    <row r="441" spans="6:6" ht="30">
      <c r="F441" s="1"/>
    </row>
    <row r="442" spans="6:6" ht="30">
      <c r="F442" s="1"/>
    </row>
    <row r="443" spans="6:6" ht="30">
      <c r="F443" s="1"/>
    </row>
    <row r="444" spans="6:6" ht="30">
      <c r="F444" s="1"/>
    </row>
    <row r="445" spans="6:6" ht="30">
      <c r="F445" s="1"/>
    </row>
    <row r="446" spans="6:6" ht="30">
      <c r="F446" s="1"/>
    </row>
    <row r="447" spans="6:6" ht="30">
      <c r="F447" s="1"/>
    </row>
    <row r="448" spans="6:6" ht="30">
      <c r="F448" s="1"/>
    </row>
    <row r="449" spans="6:6" ht="30">
      <c r="F449" s="1"/>
    </row>
    <row r="450" spans="6:6" ht="30">
      <c r="F450" s="1"/>
    </row>
    <row r="451" spans="6:6" ht="30">
      <c r="F451" s="1"/>
    </row>
    <row r="452" spans="6:6" ht="30">
      <c r="F452" s="1"/>
    </row>
    <row r="453" spans="6:6" ht="30">
      <c r="F453" s="1"/>
    </row>
    <row r="454" spans="6:6" ht="30">
      <c r="F454" s="1"/>
    </row>
    <row r="455" spans="6:6" ht="30">
      <c r="F455" s="1"/>
    </row>
    <row r="456" spans="6:6" ht="30">
      <c r="F456" s="1"/>
    </row>
    <row r="457" spans="6:6" ht="30">
      <c r="F457" s="1"/>
    </row>
    <row r="458" spans="6:6" ht="30">
      <c r="F458" s="1"/>
    </row>
    <row r="459" spans="6:6" ht="30">
      <c r="F459" s="1"/>
    </row>
    <row r="460" spans="6:6" ht="30">
      <c r="F460" s="1"/>
    </row>
    <row r="461" spans="6:6" ht="30">
      <c r="F461" s="1"/>
    </row>
    <row r="462" spans="6:6" ht="30">
      <c r="F462" s="1"/>
    </row>
    <row r="463" spans="6:6" ht="30">
      <c r="F463" s="1"/>
    </row>
    <row r="464" spans="6:6" ht="30">
      <c r="F464" s="1"/>
    </row>
    <row r="465" spans="6:6" ht="30">
      <c r="F465" s="1"/>
    </row>
    <row r="466" spans="6:6" ht="30">
      <c r="F466" s="1"/>
    </row>
    <row r="467" spans="6:6" ht="30">
      <c r="F467" s="1"/>
    </row>
    <row r="468" spans="6:6" ht="30">
      <c r="F468" s="1"/>
    </row>
    <row r="469" spans="6:6" ht="30">
      <c r="F469" s="1"/>
    </row>
    <row r="470" spans="6:6" ht="30">
      <c r="F470" s="1"/>
    </row>
    <row r="471" spans="6:6" ht="30">
      <c r="F471" s="1"/>
    </row>
    <row r="472" spans="6:6" ht="30">
      <c r="F472" s="1"/>
    </row>
    <row r="473" spans="6:6" ht="30">
      <c r="F473" s="1"/>
    </row>
    <row r="474" spans="6:6" ht="30">
      <c r="F474" s="1"/>
    </row>
    <row r="475" spans="6:6" ht="30">
      <c r="F475" s="1"/>
    </row>
    <row r="476" spans="6:6" ht="30">
      <c r="F476" s="1"/>
    </row>
    <row r="477" spans="6:6" ht="30">
      <c r="F477" s="1"/>
    </row>
    <row r="478" spans="6:6" ht="30">
      <c r="F478" s="1"/>
    </row>
    <row r="479" spans="6:6" ht="30">
      <c r="F479" s="1"/>
    </row>
    <row r="480" spans="6:6" ht="30">
      <c r="F480" s="1"/>
    </row>
    <row r="481" spans="6:6" ht="30">
      <c r="F481" s="1"/>
    </row>
    <row r="482" spans="6:6" ht="30">
      <c r="F482" s="1"/>
    </row>
    <row r="483" spans="6:6" ht="30">
      <c r="F483" s="1"/>
    </row>
    <row r="484" spans="6:6" ht="30">
      <c r="F484" s="1"/>
    </row>
    <row r="485" spans="6:6" ht="30">
      <c r="F485" s="1"/>
    </row>
    <row r="486" spans="6:6" ht="30">
      <c r="F486" s="1"/>
    </row>
    <row r="487" spans="6:6" ht="30">
      <c r="F487" s="1"/>
    </row>
    <row r="488" spans="6:6" ht="30">
      <c r="F488" s="1"/>
    </row>
    <row r="489" spans="6:6" ht="30">
      <c r="F489" s="1"/>
    </row>
    <row r="490" spans="6:6" ht="30">
      <c r="F490" s="1"/>
    </row>
    <row r="491" spans="6:6" ht="30">
      <c r="F491" s="1"/>
    </row>
    <row r="492" spans="6:6" ht="30">
      <c r="F492" s="1"/>
    </row>
    <row r="493" spans="6:6" ht="30">
      <c r="F493" s="1"/>
    </row>
    <row r="494" spans="6:6" ht="30">
      <c r="F494" s="1"/>
    </row>
    <row r="495" spans="6:6" ht="30">
      <c r="F495" s="1"/>
    </row>
    <row r="496" spans="6:6" ht="30">
      <c r="F496" s="1"/>
    </row>
    <row r="497" spans="6:6" ht="30">
      <c r="F497" s="1"/>
    </row>
    <row r="498" spans="6:6" ht="30">
      <c r="F498" s="1"/>
    </row>
    <row r="499" spans="6:6" ht="30">
      <c r="F499" s="1"/>
    </row>
    <row r="500" spans="6:6" ht="30">
      <c r="F500" s="1"/>
    </row>
    <row r="501" spans="6:6" ht="30">
      <c r="F501" s="1"/>
    </row>
    <row r="502" spans="6:6" ht="30">
      <c r="F502" s="1"/>
    </row>
    <row r="503" spans="6:6" ht="30">
      <c r="F503" s="1"/>
    </row>
    <row r="504" spans="6:6" ht="30">
      <c r="F504" s="1"/>
    </row>
    <row r="505" spans="6:6" ht="30">
      <c r="F505" s="1"/>
    </row>
    <row r="506" spans="6:6" ht="30">
      <c r="F506" s="1"/>
    </row>
    <row r="507" spans="6:6" ht="30">
      <c r="F507" s="1"/>
    </row>
    <row r="508" spans="6:6" ht="30">
      <c r="F508" s="1"/>
    </row>
    <row r="509" spans="6:6" ht="30">
      <c r="F509" s="1"/>
    </row>
    <row r="510" spans="6:6" ht="30">
      <c r="F510" s="1"/>
    </row>
    <row r="511" spans="6:6" ht="30">
      <c r="F511" s="1"/>
    </row>
    <row r="512" spans="6:6" ht="30">
      <c r="F512" s="1"/>
    </row>
    <row r="513" spans="6:6" ht="30">
      <c r="F513" s="1"/>
    </row>
    <row r="514" spans="6:6" ht="30">
      <c r="F514" s="1"/>
    </row>
    <row r="515" spans="6:6" ht="30">
      <c r="F515" s="1"/>
    </row>
    <row r="516" spans="6:6" ht="30">
      <c r="F516" s="1"/>
    </row>
    <row r="517" spans="6:6" ht="30">
      <c r="F517" s="1"/>
    </row>
    <row r="518" spans="6:6" ht="30">
      <c r="F518" s="1"/>
    </row>
    <row r="519" spans="6:6" ht="30">
      <c r="F519" s="1"/>
    </row>
    <row r="520" spans="6:6" ht="30">
      <c r="F520" s="1"/>
    </row>
    <row r="521" spans="6:6" ht="30">
      <c r="F521" s="1"/>
    </row>
    <row r="522" spans="6:6" ht="30">
      <c r="F522" s="1"/>
    </row>
    <row r="523" spans="6:6" ht="30">
      <c r="F523" s="1"/>
    </row>
    <row r="524" spans="6:6" ht="30">
      <c r="F524" s="1"/>
    </row>
    <row r="525" spans="6:6" ht="30">
      <c r="F525" s="1"/>
    </row>
    <row r="526" spans="6:6" ht="30">
      <c r="F526" s="1"/>
    </row>
    <row r="527" spans="6:6" ht="30">
      <c r="F527" s="1"/>
    </row>
    <row r="528" spans="6:6" ht="30">
      <c r="F528" s="1"/>
    </row>
    <row r="529" spans="6:6" ht="30">
      <c r="F529" s="1"/>
    </row>
    <row r="530" spans="6:6" ht="30">
      <c r="F530" s="1"/>
    </row>
    <row r="531" spans="6:6" ht="30">
      <c r="F531" s="1"/>
    </row>
    <row r="532" spans="6:6" ht="30">
      <c r="F532" s="1"/>
    </row>
    <row r="533" spans="6:6" ht="30">
      <c r="F533" s="1"/>
    </row>
    <row r="534" spans="6:6" ht="30">
      <c r="F534" s="1"/>
    </row>
    <row r="535" spans="6:6" ht="30">
      <c r="F535" s="1"/>
    </row>
    <row r="536" spans="6:6" ht="30">
      <c r="F536" s="1"/>
    </row>
    <row r="537" spans="6:6" ht="30">
      <c r="F537" s="1"/>
    </row>
    <row r="538" spans="6:6" ht="30">
      <c r="F538" s="1"/>
    </row>
    <row r="539" spans="6:6" ht="30">
      <c r="F539" s="1"/>
    </row>
    <row r="540" spans="6:6" ht="30">
      <c r="F540" s="1"/>
    </row>
    <row r="541" spans="6:6" ht="30">
      <c r="F541" s="1"/>
    </row>
    <row r="542" spans="6:6" ht="30">
      <c r="F542" s="1"/>
    </row>
    <row r="543" spans="6:6" ht="30">
      <c r="F543" s="1"/>
    </row>
    <row r="544" spans="6:6" ht="30">
      <c r="F544" s="1"/>
    </row>
    <row r="545" spans="6:6" ht="30">
      <c r="F545" s="1"/>
    </row>
    <row r="546" spans="6:6" ht="30">
      <c r="F546" s="1"/>
    </row>
    <row r="547" spans="6:6" ht="30">
      <c r="F547" s="1"/>
    </row>
    <row r="548" spans="6:6" ht="30">
      <c r="F548" s="1"/>
    </row>
    <row r="549" spans="6:6" ht="30">
      <c r="F549" s="1"/>
    </row>
    <row r="550" spans="6:6" ht="30">
      <c r="F550" s="1"/>
    </row>
    <row r="551" spans="6:6" ht="30">
      <c r="F551" s="1"/>
    </row>
    <row r="552" spans="6:6" ht="30">
      <c r="F552" s="1"/>
    </row>
    <row r="553" spans="6:6" ht="30">
      <c r="F553" s="1"/>
    </row>
    <row r="554" spans="6:6" ht="30">
      <c r="F554" s="1"/>
    </row>
    <row r="555" spans="6:6" ht="30">
      <c r="F555" s="1"/>
    </row>
    <row r="556" spans="6:6" ht="30">
      <c r="F556" s="1"/>
    </row>
    <row r="557" spans="6:6" ht="30">
      <c r="F557" s="1"/>
    </row>
    <row r="558" spans="6:6" ht="30">
      <c r="F558" s="1"/>
    </row>
    <row r="559" spans="6:6" ht="30">
      <c r="F559" s="1"/>
    </row>
    <row r="560" spans="6:6" ht="30">
      <c r="F560" s="1"/>
    </row>
    <row r="561" spans="6:6" ht="30">
      <c r="F561" s="1"/>
    </row>
    <row r="562" spans="6:6" ht="30">
      <c r="F562" s="1"/>
    </row>
    <row r="563" spans="6:6" ht="30">
      <c r="F563" s="1"/>
    </row>
    <row r="564" spans="6:6" ht="30">
      <c r="F564" s="1"/>
    </row>
    <row r="565" spans="6:6" ht="30">
      <c r="F565" s="1"/>
    </row>
    <row r="566" spans="6:6" ht="30">
      <c r="F566" s="1"/>
    </row>
    <row r="567" spans="6:6" ht="30">
      <c r="F567" s="1"/>
    </row>
    <row r="568" spans="6:6" ht="30">
      <c r="F568" s="1"/>
    </row>
    <row r="569" spans="6:6" ht="30">
      <c r="F569" s="1"/>
    </row>
    <row r="570" spans="6:6" ht="30">
      <c r="F570" s="1"/>
    </row>
    <row r="571" spans="6:6" ht="30">
      <c r="F571" s="1"/>
    </row>
    <row r="572" spans="6:6" ht="30">
      <c r="F572" s="1"/>
    </row>
    <row r="573" spans="6:6" ht="30">
      <c r="F573" s="1"/>
    </row>
    <row r="574" spans="6:6" ht="30">
      <c r="F574" s="1"/>
    </row>
    <row r="575" spans="6:6" ht="30">
      <c r="F575" s="1"/>
    </row>
    <row r="576" spans="6:6" ht="30">
      <c r="F576" s="1"/>
    </row>
    <row r="577" spans="6:6" ht="30">
      <c r="F577" s="1"/>
    </row>
    <row r="578" spans="6:6" ht="30">
      <c r="F578" s="1"/>
    </row>
    <row r="579" spans="6:6" ht="30">
      <c r="F579" s="1"/>
    </row>
    <row r="580" spans="6:6" ht="30">
      <c r="F580" s="1"/>
    </row>
    <row r="581" spans="6:6" ht="30">
      <c r="F581" s="1"/>
    </row>
    <row r="582" spans="6:6" ht="30">
      <c r="F582" s="1"/>
    </row>
    <row r="583" spans="6:6" ht="30">
      <c r="F583" s="1"/>
    </row>
    <row r="584" spans="6:6" ht="30">
      <c r="F584" s="1"/>
    </row>
    <row r="585" spans="6:6" ht="30">
      <c r="F585" s="1"/>
    </row>
    <row r="586" spans="6:6" ht="30">
      <c r="F586" s="1"/>
    </row>
    <row r="587" spans="6:6" ht="30">
      <c r="F587" s="1"/>
    </row>
    <row r="588" spans="6:6" ht="30">
      <c r="F588" s="1"/>
    </row>
    <row r="589" spans="6:6" ht="30">
      <c r="F589" s="1"/>
    </row>
    <row r="590" spans="6:6" ht="30">
      <c r="F590" s="1"/>
    </row>
    <row r="591" spans="6:6" ht="30">
      <c r="F591" s="1"/>
    </row>
    <row r="592" spans="6:6" ht="30">
      <c r="F592" s="1"/>
    </row>
    <row r="593" spans="6:6" ht="30">
      <c r="F593" s="1"/>
    </row>
    <row r="594" spans="6:6" ht="30">
      <c r="F594" s="1"/>
    </row>
    <row r="595" spans="6:6" ht="30">
      <c r="F595" s="1"/>
    </row>
    <row r="596" spans="6:6" ht="30">
      <c r="F596" s="1"/>
    </row>
    <row r="597" spans="6:6" ht="30">
      <c r="F597" s="1"/>
    </row>
    <row r="598" spans="6:6" ht="30">
      <c r="F598" s="1"/>
    </row>
    <row r="599" spans="6:6" ht="30">
      <c r="F599" s="1"/>
    </row>
    <row r="600" spans="6:6" ht="30">
      <c r="F600" s="1"/>
    </row>
    <row r="601" spans="6:6" ht="30">
      <c r="F601" s="1"/>
    </row>
    <row r="602" spans="6:6" ht="30">
      <c r="F602" s="1"/>
    </row>
    <row r="603" spans="6:6" ht="30">
      <c r="F603" s="1"/>
    </row>
    <row r="604" spans="6:6" ht="30">
      <c r="F604" s="1"/>
    </row>
    <row r="605" spans="6:6" ht="30">
      <c r="F605" s="1"/>
    </row>
    <row r="606" spans="6:6" ht="30">
      <c r="F606" s="1"/>
    </row>
    <row r="607" spans="6:6" ht="30">
      <c r="F607" s="1"/>
    </row>
    <row r="608" spans="6:6" ht="30">
      <c r="F608" s="1"/>
    </row>
    <row r="609" spans="6:6" ht="30">
      <c r="F609" s="1"/>
    </row>
    <row r="610" spans="6:6" ht="30">
      <c r="F610" s="1"/>
    </row>
    <row r="611" spans="6:6" ht="30">
      <c r="F611" s="1"/>
    </row>
    <row r="612" spans="6:6" ht="30">
      <c r="F612" s="1"/>
    </row>
    <row r="613" spans="6:6" ht="30">
      <c r="F613" s="1"/>
    </row>
    <row r="614" spans="6:6" ht="30">
      <c r="F614" s="1"/>
    </row>
    <row r="615" spans="6:6" ht="30">
      <c r="F615" s="1"/>
    </row>
    <row r="616" spans="6:6" ht="30">
      <c r="F616" s="1"/>
    </row>
    <row r="617" spans="6:6" ht="30">
      <c r="F617" s="1"/>
    </row>
    <row r="618" spans="6:6" ht="30">
      <c r="F618" s="1"/>
    </row>
    <row r="619" spans="6:6" ht="30">
      <c r="F619" s="1"/>
    </row>
    <row r="620" spans="6:6" ht="30">
      <c r="F620" s="1"/>
    </row>
    <row r="621" spans="6:6" ht="30">
      <c r="F621" s="1"/>
    </row>
    <row r="622" spans="6:6" ht="30">
      <c r="F622" s="1"/>
    </row>
    <row r="623" spans="6:6" ht="30">
      <c r="F623" s="1"/>
    </row>
    <row r="624" spans="6:6" ht="30">
      <c r="F624" s="1"/>
    </row>
    <row r="625" spans="6:6" ht="30">
      <c r="F625" s="1"/>
    </row>
    <row r="626" spans="6:6" ht="30">
      <c r="F626" s="1"/>
    </row>
    <row r="627" spans="6:6" ht="30">
      <c r="F627" s="1"/>
    </row>
    <row r="628" spans="6:6" ht="30">
      <c r="F628" s="1"/>
    </row>
    <row r="629" spans="6:6" ht="30">
      <c r="F629" s="1"/>
    </row>
    <row r="630" spans="6:6" ht="30">
      <c r="F630" s="1"/>
    </row>
    <row r="631" spans="6:6" ht="30">
      <c r="F631" s="1"/>
    </row>
    <row r="632" spans="6:6" ht="30">
      <c r="F632" s="1"/>
    </row>
    <row r="633" spans="6:6" ht="30">
      <c r="F633" s="1"/>
    </row>
    <row r="634" spans="6:6" ht="30">
      <c r="F634" s="1"/>
    </row>
    <row r="635" spans="6:6" ht="30">
      <c r="F635" s="1"/>
    </row>
    <row r="636" spans="6:6" ht="30">
      <c r="F636" s="1"/>
    </row>
    <row r="637" spans="6:6" ht="30">
      <c r="F637" s="1"/>
    </row>
    <row r="638" spans="6:6" ht="30">
      <c r="F638" s="1"/>
    </row>
    <row r="639" spans="6:6" ht="30">
      <c r="F639" s="1"/>
    </row>
    <row r="640" spans="6:6" ht="30">
      <c r="F640" s="1"/>
    </row>
    <row r="641" spans="6:6" ht="30">
      <c r="F641" s="1"/>
    </row>
    <row r="642" spans="6:6" ht="30">
      <c r="F642" s="1"/>
    </row>
    <row r="643" spans="6:6" ht="30">
      <c r="F643" s="1"/>
    </row>
    <row r="644" spans="6:6" ht="30">
      <c r="F644" s="1"/>
    </row>
    <row r="645" spans="6:6" ht="30">
      <c r="F645" s="1"/>
    </row>
    <row r="646" spans="6:6" ht="30">
      <c r="F646" s="1"/>
    </row>
    <row r="647" spans="6:6" ht="30">
      <c r="F647" s="1"/>
    </row>
    <row r="648" spans="6:6" ht="30">
      <c r="F648" s="1"/>
    </row>
    <row r="649" spans="6:6" ht="30">
      <c r="F649" s="1"/>
    </row>
    <row r="650" spans="6:6" ht="30">
      <c r="F650" s="1"/>
    </row>
    <row r="651" spans="6:6" ht="30">
      <c r="F651" s="1"/>
    </row>
    <row r="652" spans="6:6" ht="30">
      <c r="F652" s="1"/>
    </row>
    <row r="653" spans="6:6" ht="30">
      <c r="F653" s="1"/>
    </row>
    <row r="654" spans="6:6" ht="30">
      <c r="F654" s="1"/>
    </row>
    <row r="655" spans="6:6" ht="30">
      <c r="F655" s="1"/>
    </row>
    <row r="656" spans="6:6" ht="30">
      <c r="F656" s="1"/>
    </row>
    <row r="657" spans="6:6" ht="30">
      <c r="F657" s="1"/>
    </row>
    <row r="658" spans="6:6" ht="30">
      <c r="F658" s="1"/>
    </row>
    <row r="659" spans="6:6" ht="30">
      <c r="F659" s="1"/>
    </row>
    <row r="660" spans="6:6" ht="30">
      <c r="F660" s="1"/>
    </row>
    <row r="661" spans="6:6" ht="30">
      <c r="F661" s="1"/>
    </row>
    <row r="662" spans="6:6" ht="30">
      <c r="F662" s="1"/>
    </row>
    <row r="663" spans="6:6" ht="30">
      <c r="F663" s="1"/>
    </row>
    <row r="664" spans="6:6" ht="30">
      <c r="F664" s="1"/>
    </row>
    <row r="665" spans="6:6" ht="30">
      <c r="F665" s="1"/>
    </row>
    <row r="666" spans="6:6" ht="30">
      <c r="F666" s="1"/>
    </row>
    <row r="667" spans="6:6" ht="30">
      <c r="F667" s="1"/>
    </row>
    <row r="668" spans="6:6" ht="30">
      <c r="F668" s="1"/>
    </row>
    <row r="669" spans="6:6" ht="30">
      <c r="F669" s="1"/>
    </row>
    <row r="670" spans="6:6" ht="30">
      <c r="F670" s="1"/>
    </row>
    <row r="671" spans="6:6" ht="30">
      <c r="F671" s="1"/>
    </row>
    <row r="672" spans="6:6" ht="30">
      <c r="F672" s="1"/>
    </row>
    <row r="673" spans="6:6" ht="30">
      <c r="F673" s="1"/>
    </row>
    <row r="674" spans="6:6" ht="30">
      <c r="F674" s="1"/>
    </row>
    <row r="675" spans="6:6" ht="30">
      <c r="F675" s="1"/>
    </row>
    <row r="676" spans="6:6" ht="30">
      <c r="F676" s="1"/>
    </row>
    <row r="677" spans="6:6" ht="30">
      <c r="F677" s="1"/>
    </row>
    <row r="678" spans="6:6" ht="30">
      <c r="F678" s="1"/>
    </row>
    <row r="679" spans="6:6" ht="30">
      <c r="F679" s="1"/>
    </row>
    <row r="680" spans="6:6" ht="30">
      <c r="F680" s="1"/>
    </row>
    <row r="681" spans="6:6" ht="30">
      <c r="F681" s="1"/>
    </row>
    <row r="682" spans="6:6" ht="30">
      <c r="F682" s="1"/>
    </row>
    <row r="683" spans="6:6" ht="30">
      <c r="F683" s="1"/>
    </row>
    <row r="684" spans="6:6" ht="30">
      <c r="F684" s="1"/>
    </row>
    <row r="685" spans="6:6" ht="30">
      <c r="F685" s="1"/>
    </row>
    <row r="686" spans="6:6" ht="30">
      <c r="F686" s="1"/>
    </row>
    <row r="687" spans="6:6" ht="30">
      <c r="F687" s="1"/>
    </row>
    <row r="688" spans="6:6" ht="30">
      <c r="F688" s="1"/>
    </row>
    <row r="689" spans="6:6" ht="30">
      <c r="F689" s="1"/>
    </row>
    <row r="690" spans="6:6" ht="30">
      <c r="F690" s="1"/>
    </row>
    <row r="691" spans="6:6" ht="30">
      <c r="F691" s="1"/>
    </row>
    <row r="692" spans="6:6" ht="30">
      <c r="F692" s="1"/>
    </row>
    <row r="693" spans="6:6" ht="30">
      <c r="F693" s="1"/>
    </row>
    <row r="694" spans="6:6" ht="30">
      <c r="F694" s="1"/>
    </row>
    <row r="695" spans="6:6" ht="30">
      <c r="F695" s="1"/>
    </row>
    <row r="696" spans="6:6" ht="30">
      <c r="F696" s="1"/>
    </row>
    <row r="697" spans="6:6" ht="30">
      <c r="F697" s="1"/>
    </row>
    <row r="698" spans="6:6" ht="30">
      <c r="F698" s="1"/>
    </row>
    <row r="699" spans="6:6" ht="30">
      <c r="F699" s="1"/>
    </row>
    <row r="700" spans="6:6" ht="30">
      <c r="F700" s="1"/>
    </row>
    <row r="701" spans="6:6" ht="30">
      <c r="F701" s="1"/>
    </row>
    <row r="702" spans="6:6" ht="30">
      <c r="F702" s="1"/>
    </row>
    <row r="703" spans="6:6" ht="30">
      <c r="F703" s="1"/>
    </row>
    <row r="704" spans="6:6" ht="30">
      <c r="F704" s="1"/>
    </row>
    <row r="705" spans="6:6" ht="30">
      <c r="F705" s="1"/>
    </row>
    <row r="706" spans="6:6" ht="30">
      <c r="F706" s="1"/>
    </row>
    <row r="707" spans="6:6" ht="30">
      <c r="F707" s="1"/>
    </row>
    <row r="708" spans="6:6" ht="30">
      <c r="F708" s="1"/>
    </row>
    <row r="709" spans="6:6" ht="30">
      <c r="F709" s="1"/>
    </row>
    <row r="710" spans="6:6" ht="30">
      <c r="F710" s="1"/>
    </row>
    <row r="711" spans="6:6" ht="30">
      <c r="F711" s="1"/>
    </row>
    <row r="712" spans="6:6" ht="30">
      <c r="F712" s="1"/>
    </row>
    <row r="713" spans="6:6" ht="30">
      <c r="F713" s="1"/>
    </row>
    <row r="714" spans="6:6" ht="30">
      <c r="F714" s="1"/>
    </row>
    <row r="715" spans="6:6" ht="30">
      <c r="F715" s="1"/>
    </row>
    <row r="716" spans="6:6" ht="30">
      <c r="F716" s="1"/>
    </row>
    <row r="717" spans="6:6" ht="30">
      <c r="F717" s="1"/>
    </row>
    <row r="718" spans="6:6" ht="30">
      <c r="F718" s="1"/>
    </row>
    <row r="719" spans="6:6" ht="30">
      <c r="F719" s="1"/>
    </row>
    <row r="720" spans="6:6" ht="30">
      <c r="F720" s="1"/>
    </row>
    <row r="721" spans="6:6" ht="30">
      <c r="F721" s="1"/>
    </row>
    <row r="722" spans="6:6" ht="30">
      <c r="F722" s="1"/>
    </row>
    <row r="723" spans="6:6" ht="30">
      <c r="F723" s="1"/>
    </row>
    <row r="724" spans="6:6" ht="30">
      <c r="F724" s="1"/>
    </row>
    <row r="725" spans="6:6" ht="30">
      <c r="F725" s="1"/>
    </row>
    <row r="726" spans="6:6" ht="30">
      <c r="F726" s="1"/>
    </row>
    <row r="727" spans="6:6" ht="30">
      <c r="F727" s="1"/>
    </row>
    <row r="728" spans="6:6" ht="30">
      <c r="F728" s="1"/>
    </row>
    <row r="729" spans="6:6" ht="30">
      <c r="F729" s="1"/>
    </row>
    <row r="730" spans="6:6" ht="30">
      <c r="F730" s="1"/>
    </row>
    <row r="731" spans="6:6" ht="30">
      <c r="F731" s="1"/>
    </row>
    <row r="732" spans="6:6" ht="30">
      <c r="F732" s="1"/>
    </row>
    <row r="733" spans="6:6" ht="30">
      <c r="F733" s="1"/>
    </row>
    <row r="734" spans="6:6" ht="30">
      <c r="F734" s="1"/>
    </row>
    <row r="735" spans="6:6" ht="30">
      <c r="F735" s="1"/>
    </row>
    <row r="736" spans="6:6" ht="30">
      <c r="F736" s="1"/>
    </row>
    <row r="737" spans="6:6" ht="30">
      <c r="F737" s="1"/>
    </row>
    <row r="738" spans="6:6" ht="30">
      <c r="F738" s="1"/>
    </row>
    <row r="739" spans="6:6" ht="30">
      <c r="F739" s="1"/>
    </row>
    <row r="740" spans="6:6" ht="30">
      <c r="F740" s="1"/>
    </row>
    <row r="741" spans="6:6" ht="30">
      <c r="F741" s="1"/>
    </row>
    <row r="742" spans="6:6" ht="30">
      <c r="F742" s="1"/>
    </row>
    <row r="743" spans="6:6" ht="30">
      <c r="F743" s="1"/>
    </row>
    <row r="744" spans="6:6" ht="30">
      <c r="F744" s="1"/>
    </row>
    <row r="745" spans="6:6" ht="30">
      <c r="F745" s="1"/>
    </row>
    <row r="746" spans="6:6" ht="30">
      <c r="F746" s="1"/>
    </row>
    <row r="747" spans="6:6" ht="30">
      <c r="F747" s="1"/>
    </row>
    <row r="748" spans="6:6" ht="30">
      <c r="F748" s="1"/>
    </row>
    <row r="749" spans="6:6" ht="30">
      <c r="F749" s="1"/>
    </row>
    <row r="750" spans="6:6" ht="30">
      <c r="F750" s="1"/>
    </row>
    <row r="751" spans="6:6" ht="30">
      <c r="F751" s="1"/>
    </row>
    <row r="752" spans="6:6" ht="30">
      <c r="F752" s="1"/>
    </row>
    <row r="753" spans="6:6" ht="30">
      <c r="F753" s="1"/>
    </row>
    <row r="754" spans="6:6" ht="30">
      <c r="F754" s="1"/>
    </row>
    <row r="755" spans="6:6" ht="30">
      <c r="F755" s="1"/>
    </row>
    <row r="756" spans="6:6" ht="30">
      <c r="F756" s="1"/>
    </row>
    <row r="757" spans="6:6" ht="30">
      <c r="F757" s="1"/>
    </row>
    <row r="758" spans="6:6" ht="30">
      <c r="F758" s="1"/>
    </row>
    <row r="759" spans="6:6" ht="30">
      <c r="F759" s="1"/>
    </row>
    <row r="760" spans="6:6" ht="30">
      <c r="F760" s="1"/>
    </row>
    <row r="761" spans="6:6" ht="30">
      <c r="F761" s="1"/>
    </row>
    <row r="762" spans="6:6" ht="30">
      <c r="F762" s="1"/>
    </row>
    <row r="763" spans="6:6" ht="30">
      <c r="F763" s="1"/>
    </row>
    <row r="764" spans="6:6" ht="30">
      <c r="F764" s="1"/>
    </row>
    <row r="765" spans="6:6" ht="30">
      <c r="F765" s="1"/>
    </row>
    <row r="766" spans="6:6" ht="30">
      <c r="F766" s="1"/>
    </row>
    <row r="767" spans="6:6" ht="30">
      <c r="F767" s="1"/>
    </row>
    <row r="768" spans="6:6" ht="30">
      <c r="F768" s="1"/>
    </row>
    <row r="769" spans="6:6" ht="30">
      <c r="F769" s="1"/>
    </row>
    <row r="770" spans="6:6" ht="30">
      <c r="F770" s="1"/>
    </row>
    <row r="771" spans="6:6" ht="30">
      <c r="F771" s="1"/>
    </row>
    <row r="772" spans="6:6" ht="30">
      <c r="F772" s="1"/>
    </row>
    <row r="773" spans="6:6" ht="30">
      <c r="F773" s="1"/>
    </row>
    <row r="774" spans="6:6" ht="30">
      <c r="F774" s="1"/>
    </row>
    <row r="775" spans="6:6" ht="30">
      <c r="F775" s="1"/>
    </row>
    <row r="776" spans="6:6" ht="30">
      <c r="F776" s="1"/>
    </row>
    <row r="777" spans="6:6" ht="30">
      <c r="F777" s="1"/>
    </row>
    <row r="778" spans="6:6" ht="30">
      <c r="F778" s="1"/>
    </row>
    <row r="779" spans="6:6" ht="30">
      <c r="F779" s="1"/>
    </row>
    <row r="780" spans="6:6" ht="30">
      <c r="F780" s="1"/>
    </row>
    <row r="781" spans="6:6" ht="30">
      <c r="F781" s="1"/>
    </row>
    <row r="782" spans="6:6" ht="30">
      <c r="F782" s="1"/>
    </row>
    <row r="783" spans="6:6" ht="30">
      <c r="F783" s="1"/>
    </row>
    <row r="784" spans="6:6" ht="30">
      <c r="F784" s="1"/>
    </row>
    <row r="785" spans="6:6" ht="30">
      <c r="F785" s="1"/>
    </row>
    <row r="786" spans="6:6" ht="30">
      <c r="F786" s="1"/>
    </row>
    <row r="787" spans="6:6" ht="30">
      <c r="F787" s="1"/>
    </row>
    <row r="788" spans="6:6" ht="30">
      <c r="F788" s="1"/>
    </row>
    <row r="789" spans="6:6" ht="30">
      <c r="F789" s="1"/>
    </row>
    <row r="790" spans="6:6" ht="30">
      <c r="F790" s="1"/>
    </row>
    <row r="791" spans="6:6" ht="30">
      <c r="F791" s="1"/>
    </row>
    <row r="792" spans="6:6" ht="30">
      <c r="F792" s="1"/>
    </row>
    <row r="793" spans="6:6" ht="30">
      <c r="F793" s="1"/>
    </row>
    <row r="794" spans="6:6" ht="30">
      <c r="F794" s="1"/>
    </row>
    <row r="795" spans="6:6" ht="30">
      <c r="F795" s="1"/>
    </row>
    <row r="796" spans="6:6" ht="30">
      <c r="F796" s="1"/>
    </row>
    <row r="797" spans="6:6" ht="30">
      <c r="F797" s="1"/>
    </row>
    <row r="798" spans="6:6" ht="30">
      <c r="F798" s="1"/>
    </row>
    <row r="799" spans="6:6" ht="30">
      <c r="F799" s="1"/>
    </row>
    <row r="800" spans="6:6" ht="30">
      <c r="F800" s="1"/>
    </row>
    <row r="801" spans="6:6" ht="30">
      <c r="F801" s="1"/>
    </row>
    <row r="802" spans="6:6" ht="30">
      <c r="F802" s="1"/>
    </row>
    <row r="803" spans="6:6" ht="30">
      <c r="F803" s="1"/>
    </row>
    <row r="804" spans="6:6" ht="30">
      <c r="F804" s="1"/>
    </row>
    <row r="805" spans="6:6" ht="30">
      <c r="F805" s="1"/>
    </row>
    <row r="806" spans="6:6" ht="30">
      <c r="F806" s="1"/>
    </row>
    <row r="807" spans="6:6" ht="30">
      <c r="F807" s="1"/>
    </row>
    <row r="808" spans="6:6" ht="30">
      <c r="F808" s="1"/>
    </row>
    <row r="809" spans="6:6" ht="30">
      <c r="F809" s="1"/>
    </row>
    <row r="810" spans="6:6" ht="30">
      <c r="F810" s="1"/>
    </row>
    <row r="811" spans="6:6" ht="30">
      <c r="F811" s="1"/>
    </row>
    <row r="812" spans="6:6" ht="30">
      <c r="F812" s="1"/>
    </row>
    <row r="813" spans="6:6" ht="30">
      <c r="F813" s="1"/>
    </row>
    <row r="814" spans="6:6" ht="30">
      <c r="F814" s="1"/>
    </row>
    <row r="815" spans="6:6" ht="30">
      <c r="F815" s="1"/>
    </row>
    <row r="816" spans="6:6" ht="30">
      <c r="F816" s="1"/>
    </row>
    <row r="817" spans="6:6" ht="30">
      <c r="F817" s="1"/>
    </row>
    <row r="818" spans="6:6" ht="30">
      <c r="F818" s="1"/>
    </row>
    <row r="819" spans="6:6" ht="30">
      <c r="F819" s="1"/>
    </row>
    <row r="820" spans="6:6" ht="30">
      <c r="F820" s="1"/>
    </row>
    <row r="821" spans="6:6" ht="30">
      <c r="F821" s="1"/>
    </row>
    <row r="822" spans="6:6" ht="30">
      <c r="F822" s="1"/>
    </row>
    <row r="823" spans="6:6" ht="30">
      <c r="F823" s="1"/>
    </row>
    <row r="824" spans="6:6" ht="30">
      <c r="F824" s="1"/>
    </row>
    <row r="825" spans="6:6" ht="30">
      <c r="F825" s="1"/>
    </row>
    <row r="826" spans="6:6" ht="30">
      <c r="F826" s="1"/>
    </row>
    <row r="827" spans="6:6" ht="30">
      <c r="F827" s="1"/>
    </row>
    <row r="828" spans="6:6" ht="30">
      <c r="F828" s="1"/>
    </row>
    <row r="829" spans="6:6" ht="30">
      <c r="F829" s="1"/>
    </row>
    <row r="830" spans="6:6" ht="30">
      <c r="F830" s="1"/>
    </row>
    <row r="831" spans="6:6" ht="30">
      <c r="F831" s="1"/>
    </row>
    <row r="832" spans="6:6" ht="30">
      <c r="F832" s="1"/>
    </row>
    <row r="833" spans="6:6" ht="30">
      <c r="F833" s="1"/>
    </row>
    <row r="834" spans="6:6" ht="30">
      <c r="F834" s="1"/>
    </row>
    <row r="835" spans="6:6" ht="30">
      <c r="F835" s="1"/>
    </row>
    <row r="836" spans="6:6" ht="30">
      <c r="F836" s="1"/>
    </row>
    <row r="837" spans="6:6" ht="30">
      <c r="F837" s="1"/>
    </row>
    <row r="838" spans="6:6" ht="30">
      <c r="F838" s="1"/>
    </row>
    <row r="839" spans="6:6" ht="30">
      <c r="F839" s="1"/>
    </row>
    <row r="840" spans="6:6" ht="30">
      <c r="F840" s="1"/>
    </row>
    <row r="841" spans="6:6" ht="30">
      <c r="F841" s="1"/>
    </row>
    <row r="842" spans="6:6" ht="30">
      <c r="F842" s="1"/>
    </row>
    <row r="843" spans="6:6" ht="30">
      <c r="F843" s="1"/>
    </row>
    <row r="844" spans="6:6" ht="30">
      <c r="F844" s="1"/>
    </row>
    <row r="845" spans="6:6" ht="30">
      <c r="F845" s="1"/>
    </row>
    <row r="846" spans="6:6" ht="30">
      <c r="F846" s="1"/>
    </row>
    <row r="847" spans="6:6" ht="30">
      <c r="F847" s="1"/>
    </row>
    <row r="848" spans="6:6" ht="30">
      <c r="F848" s="1"/>
    </row>
    <row r="849" spans="6:6" ht="30">
      <c r="F849" s="1"/>
    </row>
    <row r="850" spans="6:6" ht="30">
      <c r="F850" s="1"/>
    </row>
    <row r="851" spans="6:6" ht="30">
      <c r="F851" s="1"/>
    </row>
    <row r="852" spans="6:6" ht="30">
      <c r="F852" s="1"/>
    </row>
    <row r="853" spans="6:6" ht="30">
      <c r="F853" s="1"/>
    </row>
    <row r="854" spans="6:6" ht="30">
      <c r="F854" s="1"/>
    </row>
    <row r="855" spans="6:6" ht="30">
      <c r="F855" s="1"/>
    </row>
    <row r="856" spans="6:6" ht="30">
      <c r="F856" s="1"/>
    </row>
    <row r="857" spans="6:6" ht="30">
      <c r="F857" s="1"/>
    </row>
    <row r="858" spans="6:6" ht="30">
      <c r="F858" s="1"/>
    </row>
    <row r="859" spans="6:6" ht="30">
      <c r="F859" s="1"/>
    </row>
    <row r="860" spans="6:6" ht="30">
      <c r="F860" s="1"/>
    </row>
    <row r="861" spans="6:6" ht="30">
      <c r="F861" s="1"/>
    </row>
    <row r="862" spans="6:6" ht="30">
      <c r="F862" s="1"/>
    </row>
    <row r="863" spans="6:6" ht="30">
      <c r="F863" s="1"/>
    </row>
    <row r="864" spans="6:6" ht="30">
      <c r="F864" s="1"/>
    </row>
    <row r="865" spans="6:6" ht="30">
      <c r="F865" s="1"/>
    </row>
    <row r="866" spans="6:6" ht="30">
      <c r="F866" s="1"/>
    </row>
    <row r="867" spans="6:6" ht="30">
      <c r="F867" s="1"/>
    </row>
    <row r="868" spans="6:6" ht="30">
      <c r="F868" s="1"/>
    </row>
    <row r="869" spans="6:6" ht="30">
      <c r="F869" s="1"/>
    </row>
    <row r="870" spans="6:6" ht="30">
      <c r="F870" s="1"/>
    </row>
    <row r="871" spans="6:6" ht="30">
      <c r="F871" s="1"/>
    </row>
    <row r="872" spans="6:6" ht="30">
      <c r="F872" s="1"/>
    </row>
    <row r="873" spans="6:6" ht="30">
      <c r="F873" s="1"/>
    </row>
    <row r="874" spans="6:6" ht="30">
      <c r="F874" s="1"/>
    </row>
    <row r="875" spans="6:6" ht="30">
      <c r="F875" s="1"/>
    </row>
    <row r="876" spans="6:6" ht="30">
      <c r="F876" s="1"/>
    </row>
    <row r="877" spans="6:6" ht="30">
      <c r="F877" s="1"/>
    </row>
    <row r="878" spans="6:6" ht="30">
      <c r="F878" s="1"/>
    </row>
    <row r="879" spans="6:6" ht="30">
      <c r="F879" s="1"/>
    </row>
    <row r="880" spans="6:6" ht="30">
      <c r="F880" s="1"/>
    </row>
    <row r="881" spans="6:6" ht="30">
      <c r="F881" s="1"/>
    </row>
    <row r="882" spans="6:6" ht="30">
      <c r="F882" s="1"/>
    </row>
    <row r="883" spans="6:6" ht="30">
      <c r="F883" s="1"/>
    </row>
    <row r="884" spans="6:6" ht="30">
      <c r="F884" s="1"/>
    </row>
    <row r="885" spans="6:6" ht="30">
      <c r="F885" s="1"/>
    </row>
    <row r="886" spans="6:6" ht="30">
      <c r="F886" s="1"/>
    </row>
    <row r="887" spans="6:6" ht="30">
      <c r="F887" s="1"/>
    </row>
    <row r="888" spans="6:6" ht="30">
      <c r="F888" s="1"/>
    </row>
    <row r="889" spans="6:6" ht="30">
      <c r="F889" s="1"/>
    </row>
    <row r="890" spans="6:6" ht="30">
      <c r="F890" s="1"/>
    </row>
    <row r="891" spans="6:6" ht="30">
      <c r="F891" s="1"/>
    </row>
    <row r="892" spans="6:6" ht="30">
      <c r="F892" s="1"/>
    </row>
    <row r="893" spans="6:6" ht="30">
      <c r="F893" s="1"/>
    </row>
    <row r="894" spans="6:6" ht="30">
      <c r="F894" s="1"/>
    </row>
    <row r="895" spans="6:6" ht="30">
      <c r="F895" s="1"/>
    </row>
    <row r="896" spans="6:6" ht="30">
      <c r="F896" s="1"/>
    </row>
    <row r="897" spans="6:6" ht="30">
      <c r="F897" s="1"/>
    </row>
    <row r="898" spans="6:6" ht="30">
      <c r="F898" s="1"/>
    </row>
    <row r="899" spans="6:6" ht="30">
      <c r="F899" s="1"/>
    </row>
    <row r="900" spans="6:6" ht="30">
      <c r="F900" s="1"/>
    </row>
    <row r="901" spans="6:6" ht="30">
      <c r="F901" s="1"/>
    </row>
    <row r="902" spans="6:6" ht="30">
      <c r="F902" s="1"/>
    </row>
    <row r="903" spans="6:6" ht="30">
      <c r="F903" s="1"/>
    </row>
    <row r="904" spans="6:6" ht="13.2"/>
    <row r="905" spans="6:6" ht="13.2"/>
    <row r="906" spans="6:6" ht="13.2"/>
    <row r="907" spans="6:6" ht="13.2"/>
    <row r="908" spans="6:6" ht="13.2"/>
    <row r="909" spans="6:6" ht="13.2"/>
    <row r="910" spans="6:6" ht="13.2"/>
    <row r="911" spans="6:6" ht="13.2"/>
  </sheetData>
  <mergeCells count="1">
    <mergeCell ref="A1:G4"/>
  </mergeCells>
  <conditionalFormatting sqref="E18 E29">
    <cfRule type="containsText" dxfId="43" priority="7" operator="containsText" text="نجح">
      <formula>NOT(ISERROR(SEARCH(("نجح"),(E18))))</formula>
    </cfRule>
    <cfRule type="containsText" dxfId="42" priority="8" operator="containsText" text="فشل">
      <formula>NOT(ISERROR(SEARCH(("فشل"),(E18))))</formula>
    </cfRule>
  </conditionalFormatting>
  <conditionalFormatting sqref="E22">
    <cfRule type="containsText" dxfId="41" priority="5" operator="containsText" text="نجح">
      <formula>NOT(ISERROR(SEARCH(("نجح"),(E22))))</formula>
    </cfRule>
    <cfRule type="containsText" dxfId="40" priority="6" operator="containsText" text="فشل">
      <formula>NOT(ISERROR(SEARCH(("فشل"),(E22))))</formula>
    </cfRule>
  </conditionalFormatting>
  <dataValidations count="3">
    <dataValidation showDropDown="1" showInputMessage="1" showErrorMessage="1" sqref="C6:D6" xr:uid="{59069ABE-14F0-41C4-B70B-2462300667D4}"/>
    <dataValidation type="list" allowBlank="1" showInputMessage="1" showErrorMessage="1" sqref="G17:G23" xr:uid="{116EC72C-1F8D-431F-8EE6-346A63100D90}">
      <formula1>$E$9:$E$10</formula1>
    </dataValidation>
    <dataValidation type="list" allowBlank="1" showInputMessage="1" showErrorMessage="1" sqref="F24" xr:uid="{8DE98B34-4EFC-42CC-A52E-7D70C1D89E17}">
      <formula1>#REF!</formula1>
    </dataValidation>
  </dataValidation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6167-A159-48EE-A39D-F870058A7492}">
  <sheetPr>
    <outlinePr summaryBelow="0" summaryRight="0"/>
  </sheetPr>
  <dimension ref="A1:S917"/>
  <sheetViews>
    <sheetView rightToLeft="1" zoomScale="24" zoomScaleNormal="100" workbookViewId="0">
      <selection activeCell="B11" sqref="B11"/>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15.75" customHeight="1">
      <c r="A1" s="148"/>
      <c r="B1" s="148"/>
      <c r="C1" s="148"/>
      <c r="D1" s="148"/>
      <c r="E1" s="148"/>
      <c r="F1" s="148"/>
      <c r="G1" s="148"/>
    </row>
    <row r="2" spans="1:19" ht="15.75" customHeight="1">
      <c r="A2" s="148"/>
      <c r="B2" s="148"/>
      <c r="C2" s="148"/>
      <c r="D2" s="148"/>
      <c r="E2" s="148"/>
      <c r="F2" s="148"/>
      <c r="G2" s="148"/>
    </row>
    <row r="3" spans="1:19" ht="15.75" customHeight="1">
      <c r="A3" s="148"/>
      <c r="B3" s="148"/>
      <c r="C3" s="148"/>
      <c r="D3" s="148"/>
      <c r="E3" s="148"/>
      <c r="F3" s="148"/>
      <c r="G3" s="148"/>
    </row>
    <row r="4" spans="1:19" ht="39.6" customHeight="1">
      <c r="A4" s="149"/>
      <c r="B4" s="149"/>
      <c r="C4" s="149"/>
      <c r="D4" s="149"/>
      <c r="E4" s="149"/>
      <c r="F4" s="149"/>
      <c r="G4" s="149"/>
    </row>
    <row r="5" spans="1:19" ht="1.2" customHeight="1">
      <c r="A5" s="4"/>
      <c r="B5" s="4"/>
      <c r="C5" s="4"/>
      <c r="D5" s="4"/>
      <c r="E5" s="25"/>
      <c r="F5" s="4"/>
      <c r="G5" s="4"/>
    </row>
    <row r="6" spans="1:19" ht="22.8">
      <c r="A6" s="4"/>
      <c r="B6" s="4"/>
      <c r="C6" s="5"/>
      <c r="D6" s="5"/>
      <c r="E6" s="25"/>
      <c r="F6" s="4"/>
      <c r="G6" s="4"/>
    </row>
    <row r="7" spans="1:19" ht="22.8">
      <c r="A7" s="4"/>
      <c r="B7" s="4"/>
      <c r="C7" s="5"/>
      <c r="D7" s="5"/>
      <c r="E7" s="25"/>
      <c r="F7" s="4"/>
      <c r="G7" s="4"/>
      <c r="O7" s="130"/>
      <c r="P7" s="130"/>
      <c r="Q7" s="130"/>
      <c r="R7" s="130"/>
      <c r="S7" s="130"/>
    </row>
    <row r="8" spans="1:19" ht="22.8">
      <c r="A8" s="58" t="s">
        <v>2</v>
      </c>
      <c r="B8" s="59" t="s">
        <v>38</v>
      </c>
      <c r="C8" s="5"/>
      <c r="D8" s="5"/>
      <c r="E8" s="25"/>
      <c r="F8" s="4"/>
      <c r="G8" s="4"/>
      <c r="O8" s="130"/>
      <c r="P8" s="130"/>
      <c r="Q8" s="130"/>
      <c r="R8" s="130"/>
      <c r="S8" s="130"/>
    </row>
    <row r="9" spans="1:19" ht="51.75" customHeight="1">
      <c r="A9" s="32" t="s">
        <v>39</v>
      </c>
      <c r="B9" s="57" t="s">
        <v>92</v>
      </c>
      <c r="C9" s="5"/>
      <c r="D9" s="5"/>
      <c r="E9" s="25"/>
      <c r="F9" s="31" t="s">
        <v>41</v>
      </c>
      <c r="G9" s="4"/>
      <c r="O9" s="130"/>
      <c r="P9" s="130"/>
      <c r="Q9" s="130"/>
      <c r="R9" s="130"/>
      <c r="S9" s="130"/>
    </row>
    <row r="10" spans="1:19" ht="39" customHeight="1">
      <c r="A10" s="4"/>
      <c r="B10" s="4"/>
      <c r="C10" s="4"/>
      <c r="D10" s="4"/>
      <c r="E10" s="25"/>
      <c r="F10" s="31" t="s">
        <v>8</v>
      </c>
      <c r="G10" s="4"/>
      <c r="O10" s="7" t="s">
        <v>41</v>
      </c>
      <c r="P10" s="7">
        <f>COUNTIF(G:H,"نجح")</f>
        <v>0</v>
      </c>
      <c r="Q10" s="130"/>
      <c r="R10" s="130"/>
      <c r="S10" s="130"/>
    </row>
    <row r="11" spans="1:19" ht="48" customHeight="1">
      <c r="A11" s="4"/>
      <c r="B11" s="4"/>
      <c r="C11" s="4"/>
      <c r="D11" s="4"/>
      <c r="E11" s="25"/>
      <c r="F11" s="31"/>
      <c r="G11" s="4"/>
      <c r="O11" s="7"/>
      <c r="P11" s="7"/>
      <c r="Q11" s="130"/>
      <c r="R11" s="130"/>
      <c r="S11" s="130"/>
    </row>
    <row r="12" spans="1:19" ht="68.25" customHeight="1">
      <c r="A12" s="4"/>
      <c r="B12" s="4"/>
      <c r="C12" s="4"/>
      <c r="D12" s="4"/>
      <c r="E12" s="25"/>
      <c r="F12" s="4"/>
      <c r="G12" s="4"/>
      <c r="O12" s="7" t="s">
        <v>8</v>
      </c>
      <c r="P12" s="7">
        <f>COUNTIF(G:H,"فشل")</f>
        <v>0</v>
      </c>
      <c r="Q12" s="130"/>
      <c r="R12" s="130"/>
      <c r="S12" s="130"/>
    </row>
    <row r="13" spans="1:19" ht="25.2" customHeight="1">
      <c r="A13" s="4"/>
      <c r="B13" s="4"/>
      <c r="C13" s="4"/>
      <c r="D13" s="4"/>
      <c r="E13" s="25"/>
      <c r="F13" s="4"/>
      <c r="G13" s="4"/>
      <c r="P13" s="130"/>
      <c r="Q13" s="130"/>
      <c r="R13" s="130"/>
      <c r="S13" s="130"/>
    </row>
    <row r="14" spans="1:19" ht="13.2">
      <c r="A14" s="4"/>
      <c r="B14" s="4"/>
      <c r="C14" s="4"/>
      <c r="D14" s="4"/>
      <c r="E14" s="25"/>
      <c r="F14" s="4"/>
      <c r="G14" s="4"/>
      <c r="P14" s="130"/>
      <c r="Q14" s="130"/>
      <c r="R14" s="130"/>
      <c r="S14" s="130"/>
    </row>
    <row r="15" spans="1:19" ht="13.2">
      <c r="A15" s="4"/>
      <c r="B15" s="4"/>
      <c r="C15" s="4"/>
      <c r="D15" s="4"/>
      <c r="E15" s="25"/>
      <c r="F15" s="4"/>
      <c r="G15" s="4"/>
      <c r="P15" s="130"/>
      <c r="Q15" s="130"/>
      <c r="R15" s="130"/>
      <c r="S15" s="130"/>
    </row>
    <row r="16" spans="1:19" s="8" customFormat="1" ht="34.799999999999997">
      <c r="A16" s="63" t="s">
        <v>43</v>
      </c>
      <c r="B16" s="18" t="s">
        <v>44</v>
      </c>
      <c r="C16" s="18" t="s">
        <v>45</v>
      </c>
      <c r="D16" s="18" t="s">
        <v>46</v>
      </c>
      <c r="E16" s="18" t="s">
        <v>47</v>
      </c>
      <c r="F16" s="18" t="s">
        <v>48</v>
      </c>
      <c r="G16" s="18" t="s">
        <v>49</v>
      </c>
    </row>
    <row r="17" spans="1:19" ht="90" customHeight="1">
      <c r="A17" s="20">
        <v>1</v>
      </c>
      <c r="B17" s="9" t="s">
        <v>50</v>
      </c>
      <c r="C17" s="9" t="s">
        <v>51</v>
      </c>
      <c r="D17" s="39" t="s">
        <v>52</v>
      </c>
      <c r="E17" s="9" t="s">
        <v>53</v>
      </c>
      <c r="F17" s="9"/>
      <c r="G17" s="12"/>
    </row>
    <row r="18" spans="1:19" ht="251.25" customHeight="1">
      <c r="A18" s="20">
        <v>2</v>
      </c>
      <c r="B18" s="9" t="s">
        <v>50</v>
      </c>
      <c r="C18" s="9" t="s">
        <v>51</v>
      </c>
      <c r="D18" s="64" t="s">
        <v>93</v>
      </c>
      <c r="E18" s="24" t="s">
        <v>55</v>
      </c>
      <c r="F18" s="10"/>
      <c r="G18" s="12"/>
    </row>
    <row r="19" spans="1:19" ht="294.75" customHeight="1">
      <c r="A19" s="20">
        <v>3</v>
      </c>
      <c r="B19" s="9" t="s">
        <v>50</v>
      </c>
      <c r="C19" s="9" t="s">
        <v>56</v>
      </c>
      <c r="D19" s="33" t="s">
        <v>94</v>
      </c>
      <c r="E19" s="21" t="s">
        <v>58</v>
      </c>
      <c r="F19" s="13"/>
      <c r="G19" s="12"/>
    </row>
    <row r="20" spans="1:19" ht="99.75" customHeight="1">
      <c r="A20" s="20">
        <v>4</v>
      </c>
      <c r="B20" s="9" t="s">
        <v>50</v>
      </c>
      <c r="C20" s="9" t="s">
        <v>59</v>
      </c>
      <c r="D20" s="15" t="s">
        <v>60</v>
      </c>
      <c r="E20" s="21" t="s">
        <v>61</v>
      </c>
      <c r="F20" s="10"/>
      <c r="G20" s="12"/>
    </row>
    <row r="21" spans="1:19" ht="177" customHeight="1">
      <c r="A21" s="20">
        <v>5</v>
      </c>
      <c r="B21" s="9" t="s">
        <v>50</v>
      </c>
      <c r="C21" s="9" t="s">
        <v>62</v>
      </c>
      <c r="D21" s="33" t="s">
        <v>63</v>
      </c>
      <c r="E21" s="21" t="s">
        <v>64</v>
      </c>
      <c r="F21" s="13"/>
      <c r="G21" s="12"/>
    </row>
    <row r="22" spans="1:19" ht="79.5" customHeight="1">
      <c r="A22" s="20">
        <v>6</v>
      </c>
      <c r="B22" s="9" t="s">
        <v>50</v>
      </c>
      <c r="C22" s="9" t="s">
        <v>65</v>
      </c>
      <c r="D22" s="10" t="s">
        <v>66</v>
      </c>
      <c r="E22" s="9" t="s">
        <v>67</v>
      </c>
      <c r="F22" s="10"/>
      <c r="G22" s="12"/>
    </row>
    <row r="23" spans="1:19" ht="67.2" customHeight="1">
      <c r="A23" s="20">
        <v>7</v>
      </c>
      <c r="B23" s="9" t="s">
        <v>50</v>
      </c>
      <c r="C23" s="9" t="s">
        <v>68</v>
      </c>
      <c r="D23" s="10" t="s">
        <v>69</v>
      </c>
      <c r="E23" s="9" t="s">
        <v>70</v>
      </c>
      <c r="F23" s="10"/>
      <c r="G23" s="12"/>
    </row>
    <row r="24" spans="1:19" ht="272.25" customHeight="1">
      <c r="A24" s="20">
        <v>8</v>
      </c>
      <c r="B24" s="37" t="s">
        <v>50</v>
      </c>
      <c r="C24" s="36" t="s">
        <v>95</v>
      </c>
      <c r="D24" s="13" t="s">
        <v>96</v>
      </c>
      <c r="E24" s="24" t="s">
        <v>97</v>
      </c>
      <c r="F24" s="13"/>
      <c r="G24" s="16"/>
    </row>
    <row r="25" spans="1:19" ht="272.25" customHeight="1">
      <c r="A25" s="20">
        <v>9</v>
      </c>
      <c r="B25" s="9" t="s">
        <v>98</v>
      </c>
      <c r="C25" s="36" t="s">
        <v>99</v>
      </c>
      <c r="D25" s="22" t="s">
        <v>100</v>
      </c>
      <c r="E25" s="9" t="s">
        <v>101</v>
      </c>
      <c r="F25" s="22"/>
      <c r="G25" s="126"/>
      <c r="H25" s="127"/>
      <c r="I25" s="127"/>
      <c r="J25" s="127"/>
      <c r="K25" s="127"/>
      <c r="L25" s="127"/>
      <c r="M25" s="127"/>
      <c r="N25" s="127"/>
      <c r="O25" s="127"/>
      <c r="P25" s="127"/>
      <c r="Q25" s="127"/>
      <c r="R25" s="127"/>
      <c r="S25" s="127"/>
    </row>
    <row r="26" spans="1:19" ht="94.5" customHeight="1">
      <c r="A26" s="20">
        <v>10</v>
      </c>
      <c r="B26" s="9" t="s">
        <v>98</v>
      </c>
      <c r="C26" s="36" t="s">
        <v>99</v>
      </c>
      <c r="D26" s="22" t="s">
        <v>102</v>
      </c>
      <c r="E26" s="9" t="s">
        <v>103</v>
      </c>
      <c r="F26" s="66"/>
      <c r="G26" s="138"/>
      <c r="H26" s="127"/>
      <c r="I26" s="127"/>
      <c r="J26" s="127"/>
      <c r="K26" s="127"/>
      <c r="L26" s="127"/>
      <c r="M26" s="127"/>
      <c r="N26" s="127"/>
      <c r="O26" s="127"/>
      <c r="P26" s="127"/>
      <c r="Q26" s="127"/>
      <c r="R26" s="127"/>
      <c r="S26" s="127"/>
    </row>
    <row r="27" spans="1:19" ht="103.5" customHeight="1">
      <c r="A27" s="20">
        <v>11</v>
      </c>
      <c r="B27" s="9" t="s">
        <v>98</v>
      </c>
      <c r="C27" s="36" t="s">
        <v>104</v>
      </c>
      <c r="D27" s="22" t="s">
        <v>105</v>
      </c>
      <c r="E27" s="53" t="s">
        <v>106</v>
      </c>
      <c r="F27" s="56"/>
      <c r="G27" s="137"/>
      <c r="H27" s="127"/>
      <c r="I27" s="127"/>
      <c r="J27" s="127"/>
      <c r="K27" s="127"/>
      <c r="L27" s="127"/>
      <c r="M27" s="127"/>
      <c r="N27" s="127"/>
      <c r="O27" s="127"/>
      <c r="P27" s="127"/>
      <c r="Q27" s="127"/>
      <c r="R27" s="127"/>
      <c r="S27" s="127"/>
    </row>
    <row r="28" spans="1:19" ht="61.2">
      <c r="A28" s="20">
        <v>12</v>
      </c>
      <c r="B28" s="9" t="s">
        <v>98</v>
      </c>
      <c r="C28" s="62" t="s">
        <v>107</v>
      </c>
      <c r="D28" s="22" t="s">
        <v>108</v>
      </c>
      <c r="E28" s="53" t="s">
        <v>109</v>
      </c>
      <c r="F28" s="90"/>
      <c r="G28" s="91"/>
    </row>
    <row r="29" spans="1:19" ht="61.2">
      <c r="A29" s="20">
        <v>13</v>
      </c>
      <c r="B29" s="9" t="s">
        <v>98</v>
      </c>
      <c r="C29" s="62" t="s">
        <v>110</v>
      </c>
      <c r="D29" s="22" t="s">
        <v>111</v>
      </c>
      <c r="E29" s="53" t="s">
        <v>109</v>
      </c>
      <c r="F29" s="90"/>
      <c r="G29" s="91"/>
    </row>
    <row r="30" spans="1:19" ht="176.25" customHeight="1">
      <c r="A30" s="20">
        <v>14</v>
      </c>
      <c r="B30" s="9" t="s">
        <v>98</v>
      </c>
      <c r="C30" s="62" t="s">
        <v>112</v>
      </c>
      <c r="D30" s="61" t="s">
        <v>80</v>
      </c>
      <c r="E30" s="53" t="s">
        <v>113</v>
      </c>
      <c r="F30" s="90"/>
      <c r="G30" s="91"/>
    </row>
    <row r="31" spans="1:19" ht="176.25" customHeight="1">
      <c r="A31" s="20">
        <v>15</v>
      </c>
      <c r="B31" s="9" t="s">
        <v>98</v>
      </c>
      <c r="C31" s="62" t="s">
        <v>107</v>
      </c>
      <c r="D31" s="10" t="s">
        <v>114</v>
      </c>
      <c r="E31" s="53" t="s">
        <v>115</v>
      </c>
      <c r="F31" s="139"/>
      <c r="G31" s="140"/>
    </row>
    <row r="32" spans="1:19" ht="102.75" customHeight="1">
      <c r="A32" s="20">
        <v>16</v>
      </c>
      <c r="B32" s="9" t="s">
        <v>50</v>
      </c>
      <c r="C32" s="55" t="s">
        <v>116</v>
      </c>
      <c r="D32" s="45" t="s">
        <v>117</v>
      </c>
      <c r="E32" s="40" t="s">
        <v>118</v>
      </c>
      <c r="F32" s="38"/>
      <c r="G32" s="136"/>
    </row>
    <row r="33" spans="1:7" ht="61.2">
      <c r="A33" s="20">
        <v>17</v>
      </c>
      <c r="B33" s="9" t="s">
        <v>50</v>
      </c>
      <c r="C33" s="55" t="s">
        <v>116</v>
      </c>
      <c r="D33" s="45" t="s">
        <v>119</v>
      </c>
      <c r="E33" s="24" t="s">
        <v>120</v>
      </c>
      <c r="F33" s="10"/>
      <c r="G33" s="14"/>
    </row>
    <row r="34" spans="1:7" ht="81.75" customHeight="1">
      <c r="A34" s="20">
        <v>18</v>
      </c>
      <c r="B34" s="9" t="s">
        <v>50</v>
      </c>
      <c r="C34" s="55" t="s">
        <v>116</v>
      </c>
      <c r="D34" s="61" t="s">
        <v>121</v>
      </c>
      <c r="E34" s="9" t="s">
        <v>122</v>
      </c>
      <c r="F34" s="10"/>
      <c r="G34" s="14"/>
    </row>
    <row r="35" spans="1:7" ht="81.75" customHeight="1">
      <c r="A35" s="20">
        <v>19</v>
      </c>
      <c r="B35" s="35" t="s">
        <v>123</v>
      </c>
      <c r="C35" s="36" t="s">
        <v>124</v>
      </c>
      <c r="D35" s="22" t="s">
        <v>125</v>
      </c>
      <c r="E35" s="9" t="s">
        <v>126</v>
      </c>
      <c r="F35" s="10"/>
      <c r="G35" s="14"/>
    </row>
    <row r="36" spans="1:7" ht="88.5" customHeight="1">
      <c r="A36" s="20">
        <v>20</v>
      </c>
      <c r="B36" s="37" t="s">
        <v>50</v>
      </c>
      <c r="C36" s="36" t="s">
        <v>87</v>
      </c>
      <c r="D36" s="66" t="s">
        <v>127</v>
      </c>
      <c r="E36" s="24" t="s">
        <v>89</v>
      </c>
      <c r="F36" s="13"/>
      <c r="G36" s="16"/>
    </row>
    <row r="37" spans="1:7" ht="108.75" customHeight="1">
      <c r="A37" s="20">
        <v>21</v>
      </c>
      <c r="B37" s="37" t="s">
        <v>50</v>
      </c>
      <c r="C37" s="36" t="s">
        <v>87</v>
      </c>
      <c r="D37" s="13" t="s">
        <v>90</v>
      </c>
      <c r="E37" s="24" t="s">
        <v>91</v>
      </c>
      <c r="F37" s="13"/>
      <c r="G37" s="16"/>
    </row>
    <row r="38" spans="1:7" ht="121.5" customHeight="1">
      <c r="A38" s="20">
        <v>22</v>
      </c>
      <c r="B38" s="35" t="s">
        <v>50</v>
      </c>
      <c r="C38" s="36" t="s">
        <v>128</v>
      </c>
      <c r="D38" s="10" t="s">
        <v>129</v>
      </c>
      <c r="E38" s="85" t="s">
        <v>130</v>
      </c>
      <c r="F38" s="10"/>
      <c r="G38" s="14"/>
    </row>
    <row r="39" spans="1:7" ht="30">
      <c r="E39" s="26"/>
      <c r="G39" s="1"/>
    </row>
    <row r="40" spans="1:7" ht="30">
      <c r="E40" s="26"/>
      <c r="G40" s="1"/>
    </row>
    <row r="41" spans="1:7" ht="30">
      <c r="E41" s="26"/>
      <c r="G41" s="1"/>
    </row>
    <row r="42" spans="1:7" ht="30">
      <c r="E42" s="26"/>
      <c r="G42" s="1"/>
    </row>
    <row r="43" spans="1:7" ht="30">
      <c r="E43" s="26"/>
      <c r="G43" s="1"/>
    </row>
    <row r="44" spans="1:7" ht="30">
      <c r="E44" s="26"/>
      <c r="G44" s="1"/>
    </row>
    <row r="45" spans="1:7" ht="30">
      <c r="E45" s="26"/>
      <c r="G45" s="1"/>
    </row>
    <row r="46" spans="1:7" ht="49.2" customHeight="1">
      <c r="E46" s="26"/>
      <c r="G46" s="1"/>
    </row>
    <row r="47" spans="1:7" ht="30">
      <c r="E47" s="26"/>
      <c r="G47" s="1"/>
    </row>
    <row r="48" spans="1: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42.6" customHeight="1">
      <c r="E54" s="26"/>
      <c r="G54" s="1"/>
    </row>
    <row r="55" spans="5:7" ht="30">
      <c r="E55" s="26"/>
      <c r="G55" s="1"/>
    </row>
    <row r="56" spans="5:7" ht="34.200000000000003" customHeight="1">
      <c r="E56" s="26"/>
      <c r="G56" s="1"/>
    </row>
    <row r="57" spans="5:7" ht="45.6" customHeight="1">
      <c r="E57" s="26"/>
      <c r="G57" s="1"/>
    </row>
    <row r="58" spans="5:7" ht="40.950000000000003" customHeight="1">
      <c r="E58" s="26"/>
      <c r="G58" s="1"/>
    </row>
    <row r="59" spans="5:7" ht="42.6" customHeight="1">
      <c r="E59" s="26"/>
      <c r="G59" s="1"/>
    </row>
    <row r="60" spans="5:7" ht="30">
      <c r="E60" s="26"/>
      <c r="G60" s="1"/>
    </row>
    <row r="61" spans="5:7" ht="46.95" customHeight="1">
      <c r="E61" s="26"/>
      <c r="G61" s="1"/>
    </row>
    <row r="62" spans="5:7" ht="43.95" customHeight="1">
      <c r="E62" s="26"/>
      <c r="G62" s="1"/>
    </row>
    <row r="63" spans="5:7" ht="52.95" customHeight="1">
      <c r="E63" s="26"/>
      <c r="G63" s="1"/>
    </row>
    <row r="64" spans="5:7" ht="30">
      <c r="E64" s="26"/>
      <c r="G64" s="1"/>
    </row>
    <row r="65" spans="5:7" ht="30">
      <c r="E65" s="26"/>
      <c r="G65" s="1"/>
    </row>
    <row r="66" spans="5:7" ht="30">
      <c r="E66" s="26"/>
      <c r="G66" s="1"/>
    </row>
    <row r="67" spans="5:7" ht="51" customHeight="1">
      <c r="E67" s="26"/>
      <c r="G67" s="1"/>
    </row>
    <row r="68" spans="5:7" ht="37.950000000000003" customHeight="1">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30">
      <c r="E908" s="26"/>
      <c r="G908" s="1"/>
    </row>
    <row r="909" spans="5:7" ht="30">
      <c r="E909" s="26"/>
      <c r="G909" s="1"/>
    </row>
    <row r="910" spans="5:7" ht="30">
      <c r="E910" s="26"/>
      <c r="G910" s="1"/>
    </row>
    <row r="911" spans="5:7" ht="30">
      <c r="E911" s="26"/>
      <c r="G911" s="1"/>
    </row>
    <row r="912" spans="5:7" ht="30">
      <c r="E912" s="26"/>
      <c r="G912" s="1"/>
    </row>
    <row r="913" spans="5:7" ht="30">
      <c r="E913" s="26"/>
      <c r="G913" s="1"/>
    </row>
    <row r="914" spans="5:7" ht="30">
      <c r="E914" s="26"/>
      <c r="G914" s="1"/>
    </row>
    <row r="915" spans="5:7" ht="30">
      <c r="E915" s="26"/>
      <c r="G915" s="1"/>
    </row>
    <row r="916" spans="5:7" ht="30">
      <c r="E916" s="26"/>
      <c r="G916" s="1"/>
    </row>
    <row r="917" spans="5:7" ht="30">
      <c r="E917" s="26"/>
      <c r="G917" s="1"/>
    </row>
  </sheetData>
  <mergeCells count="1">
    <mergeCell ref="A1:G4"/>
  </mergeCells>
  <conditionalFormatting sqref="E18 E38:E917">
    <cfRule type="containsText" dxfId="39" priority="11" operator="containsText" text="نجح">
      <formula>NOT(ISERROR(SEARCH(("نجح"),(E18))))</formula>
    </cfRule>
    <cfRule type="containsText" dxfId="38" priority="12" operator="containsText" text="فشل">
      <formula>NOT(ISERROR(SEARCH(("فشل"),(E18))))</formula>
    </cfRule>
  </conditionalFormatting>
  <conditionalFormatting sqref="E22">
    <cfRule type="containsText" dxfId="37" priority="9" operator="containsText" text="نجح">
      <formula>NOT(ISERROR(SEARCH(("نجح"),(E22))))</formula>
    </cfRule>
    <cfRule type="containsText" dxfId="36" priority="10" operator="containsText" text="فشل">
      <formula>NOT(ISERROR(SEARCH(("فشل"),(E22))))</formula>
    </cfRule>
  </conditionalFormatting>
  <conditionalFormatting sqref="E33:E35">
    <cfRule type="containsText" dxfId="35" priority="7" operator="containsText" text="نجح">
      <formula>NOT(ISERROR(SEARCH(("نجح"),(E33))))</formula>
    </cfRule>
    <cfRule type="containsText" dxfId="34" priority="8" operator="containsText" text="فشل">
      <formula>NOT(ISERROR(SEARCH(("فشل"),(E33))))</formula>
    </cfRule>
  </conditionalFormatting>
  <dataValidations count="2">
    <dataValidation type="list" allowBlank="1" showInputMessage="1" showErrorMessage="1" sqref="G17:G27 F24:F31" xr:uid="{F9F098B2-2A9E-4231-8639-E2B40EA17C95}">
      <formula1>$F$9:$F$10</formula1>
    </dataValidation>
    <dataValidation showDropDown="1" showInputMessage="1" showErrorMessage="1" sqref="C6:D6" xr:uid="{DAEAF2E6-3634-41E1-A0FC-326540356C05}"/>
  </dataValidations>
  <pageMargins left="0.7" right="0.7" top="0.75" bottom="0.75" header="0.3" footer="0.3"/>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E9C8-01DD-48B2-B1B7-9AA0355738FA}">
  <sheetPr>
    <outlinePr summaryBelow="0" summaryRight="0"/>
  </sheetPr>
  <dimension ref="A1:S923"/>
  <sheetViews>
    <sheetView rightToLeft="1" zoomScale="29" zoomScaleNormal="100" workbookViewId="0">
      <selection activeCell="B12" sqref="B12"/>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15.75" customHeight="1">
      <c r="A1" s="148"/>
      <c r="B1" s="148"/>
      <c r="C1" s="148"/>
      <c r="D1" s="148"/>
      <c r="E1" s="148"/>
      <c r="F1" s="148"/>
      <c r="G1" s="148"/>
    </row>
    <row r="2" spans="1:19" ht="15.75" customHeight="1">
      <c r="A2" s="148"/>
      <c r="B2" s="148"/>
      <c r="C2" s="148"/>
      <c r="D2" s="148"/>
      <c r="E2" s="148"/>
      <c r="F2" s="148"/>
      <c r="G2" s="148"/>
    </row>
    <row r="3" spans="1:19" ht="15.75" customHeight="1">
      <c r="A3" s="148"/>
      <c r="B3" s="148"/>
      <c r="C3" s="148"/>
      <c r="D3" s="148"/>
      <c r="E3" s="148"/>
      <c r="F3" s="148"/>
      <c r="G3" s="148"/>
    </row>
    <row r="4" spans="1:19" ht="39.6" customHeight="1">
      <c r="A4" s="149"/>
      <c r="B4" s="149"/>
      <c r="C4" s="149"/>
      <c r="D4" s="149"/>
      <c r="E4" s="149"/>
      <c r="F4" s="149"/>
      <c r="G4" s="149"/>
    </row>
    <row r="5" spans="1:19" ht="1.2" customHeight="1">
      <c r="A5" s="4"/>
      <c r="B5" s="4"/>
      <c r="C5" s="4"/>
      <c r="D5" s="4"/>
      <c r="E5" s="25"/>
      <c r="F5" s="4"/>
      <c r="G5" s="4"/>
    </row>
    <row r="6" spans="1:19" ht="22.8">
      <c r="A6" s="4"/>
      <c r="B6" s="4"/>
      <c r="C6" s="5"/>
      <c r="D6" s="5"/>
      <c r="E6" s="25"/>
      <c r="F6" s="4"/>
      <c r="G6" s="4"/>
    </row>
    <row r="7" spans="1:19" ht="22.8">
      <c r="A7" s="4"/>
      <c r="B7" s="4"/>
      <c r="C7" s="5"/>
      <c r="D7" s="5"/>
      <c r="E7" s="25"/>
      <c r="F7" s="4"/>
      <c r="G7" s="4"/>
      <c r="O7" s="130"/>
      <c r="P7" s="130"/>
      <c r="Q7" s="130"/>
      <c r="R7" s="130"/>
      <c r="S7" s="130"/>
    </row>
    <row r="8" spans="1:19" ht="22.8">
      <c r="A8" s="58" t="s">
        <v>2</v>
      </c>
      <c r="B8" s="59" t="s">
        <v>38</v>
      </c>
      <c r="C8" s="5"/>
      <c r="D8" s="5"/>
      <c r="E8" s="25"/>
      <c r="F8" s="4"/>
      <c r="G8" s="4"/>
      <c r="O8" s="130"/>
      <c r="P8" s="130"/>
      <c r="Q8" s="130"/>
      <c r="R8" s="130"/>
      <c r="S8" s="130"/>
    </row>
    <row r="9" spans="1:19" ht="51.75" customHeight="1">
      <c r="A9" s="32" t="s">
        <v>39</v>
      </c>
      <c r="B9" s="57" t="s">
        <v>131</v>
      </c>
      <c r="C9" s="5"/>
      <c r="D9" s="5"/>
      <c r="E9" s="25"/>
      <c r="F9" s="31" t="s">
        <v>41</v>
      </c>
      <c r="G9" s="4"/>
      <c r="M9" s="133"/>
      <c r="N9" s="133"/>
      <c r="O9" s="7"/>
      <c r="P9" s="7"/>
      <c r="Q9" s="130"/>
      <c r="R9" s="130"/>
      <c r="S9" s="130"/>
    </row>
    <row r="10" spans="1:19" ht="39" customHeight="1">
      <c r="A10" s="4"/>
      <c r="B10" s="4"/>
      <c r="C10" s="4"/>
      <c r="D10" s="4"/>
      <c r="E10" s="25"/>
      <c r="F10" s="31" t="s">
        <v>8</v>
      </c>
      <c r="G10" s="4"/>
      <c r="M10" s="133"/>
      <c r="N10" s="133"/>
      <c r="O10" s="7" t="s">
        <v>41</v>
      </c>
      <c r="P10" s="7">
        <f>COUNTIF(G:H,"نجح")</f>
        <v>0</v>
      </c>
      <c r="Q10" s="130"/>
      <c r="R10" s="130"/>
      <c r="S10" s="130"/>
    </row>
    <row r="11" spans="1:19" ht="48" customHeight="1">
      <c r="A11" s="4"/>
      <c r="B11" s="4"/>
      <c r="C11" s="4"/>
      <c r="D11" s="4"/>
      <c r="E11" s="25"/>
      <c r="F11" s="31"/>
      <c r="G11" s="4"/>
      <c r="M11" s="133"/>
      <c r="N11" s="133"/>
      <c r="O11" s="7"/>
      <c r="P11" s="7"/>
      <c r="Q11" s="130"/>
      <c r="R11" s="130"/>
      <c r="S11" s="130"/>
    </row>
    <row r="12" spans="1:19" ht="68.25" customHeight="1">
      <c r="A12" s="4"/>
      <c r="B12" s="4"/>
      <c r="C12" s="4"/>
      <c r="D12" s="4"/>
      <c r="E12" s="25"/>
      <c r="F12" s="4"/>
      <c r="G12" s="4"/>
      <c r="M12" s="133"/>
      <c r="N12" s="133"/>
      <c r="O12" s="7" t="s">
        <v>8</v>
      </c>
      <c r="P12" s="7">
        <f>COUNTIF(G:H,"فشل")</f>
        <v>0</v>
      </c>
      <c r="Q12" s="130"/>
      <c r="R12" s="130"/>
      <c r="S12" s="130"/>
    </row>
    <row r="13" spans="1:19" ht="25.2" customHeight="1">
      <c r="A13" s="4"/>
      <c r="B13" s="4"/>
      <c r="C13" s="4"/>
      <c r="D13" s="4"/>
      <c r="E13" s="25"/>
      <c r="F13" s="4"/>
      <c r="G13" s="4"/>
      <c r="M13" s="133"/>
      <c r="N13" s="133"/>
      <c r="O13" s="133"/>
      <c r="P13" s="7"/>
      <c r="Q13" s="130"/>
      <c r="R13" s="130"/>
      <c r="S13" s="130"/>
    </row>
    <row r="14" spans="1:19" ht="13.2">
      <c r="A14" s="4"/>
      <c r="B14" s="4"/>
      <c r="C14" s="4"/>
      <c r="D14" s="4"/>
      <c r="E14" s="25"/>
      <c r="F14" s="4"/>
      <c r="G14" s="4"/>
      <c r="P14" s="130"/>
      <c r="Q14" s="130"/>
      <c r="R14" s="130"/>
      <c r="S14" s="130"/>
    </row>
    <row r="15" spans="1:19" ht="13.2">
      <c r="A15" s="4"/>
      <c r="B15" s="4"/>
      <c r="C15" s="4"/>
      <c r="D15" s="4"/>
      <c r="E15" s="25"/>
      <c r="F15" s="4"/>
      <c r="G15" s="4"/>
      <c r="P15" s="130"/>
      <c r="Q15" s="130"/>
      <c r="R15" s="130"/>
      <c r="S15" s="130"/>
    </row>
    <row r="16" spans="1:19" s="8" customFormat="1" ht="34.799999999999997">
      <c r="A16" s="63" t="s">
        <v>43</v>
      </c>
      <c r="B16" s="18" t="s">
        <v>44</v>
      </c>
      <c r="C16" s="18" t="s">
        <v>45</v>
      </c>
      <c r="D16" s="18" t="s">
        <v>46</v>
      </c>
      <c r="E16" s="18" t="s">
        <v>47</v>
      </c>
      <c r="F16" s="18" t="s">
        <v>48</v>
      </c>
      <c r="G16" s="18" t="s">
        <v>49</v>
      </c>
    </row>
    <row r="17" spans="1:19" ht="90" customHeight="1">
      <c r="A17" s="20">
        <v>1</v>
      </c>
      <c r="B17" s="9" t="s">
        <v>50</v>
      </c>
      <c r="C17" s="9" t="s">
        <v>51</v>
      </c>
      <c r="D17" s="39" t="s">
        <v>52</v>
      </c>
      <c r="E17" s="9" t="s">
        <v>53</v>
      </c>
      <c r="F17" s="9"/>
      <c r="G17" s="12"/>
    </row>
    <row r="18" spans="1:19" ht="255" customHeight="1">
      <c r="A18" s="20">
        <v>2</v>
      </c>
      <c r="B18" s="9" t="s">
        <v>50</v>
      </c>
      <c r="C18" s="9" t="s">
        <v>51</v>
      </c>
      <c r="D18" s="64" t="s">
        <v>132</v>
      </c>
      <c r="E18" s="24" t="s">
        <v>55</v>
      </c>
      <c r="F18" s="10"/>
      <c r="G18" s="12"/>
    </row>
    <row r="19" spans="1:19" ht="291" customHeight="1">
      <c r="A19" s="20">
        <v>3</v>
      </c>
      <c r="B19" s="9" t="s">
        <v>123</v>
      </c>
      <c r="C19" s="9" t="s">
        <v>56</v>
      </c>
      <c r="D19" s="17" t="s">
        <v>133</v>
      </c>
      <c r="E19" s="9" t="s">
        <v>134</v>
      </c>
      <c r="F19" s="10"/>
      <c r="G19" s="14"/>
    </row>
    <row r="20" spans="1:19" ht="291" customHeight="1">
      <c r="A20" s="20">
        <v>4</v>
      </c>
      <c r="B20" s="9" t="s">
        <v>50</v>
      </c>
      <c r="C20" s="9" t="s">
        <v>56</v>
      </c>
      <c r="D20" s="33" t="s">
        <v>135</v>
      </c>
      <c r="E20" s="21" t="s">
        <v>58</v>
      </c>
      <c r="F20" s="13"/>
      <c r="G20" s="12"/>
    </row>
    <row r="21" spans="1:19" ht="99.75" customHeight="1">
      <c r="A21" s="20">
        <v>5</v>
      </c>
      <c r="B21" s="9" t="s">
        <v>50</v>
      </c>
      <c r="C21" s="9" t="s">
        <v>59</v>
      </c>
      <c r="D21" s="15" t="s">
        <v>60</v>
      </c>
      <c r="E21" s="21" t="s">
        <v>61</v>
      </c>
      <c r="F21" s="10"/>
      <c r="G21" s="12"/>
    </row>
    <row r="22" spans="1:19" ht="177" customHeight="1">
      <c r="A22" s="20">
        <v>6</v>
      </c>
      <c r="B22" s="9" t="s">
        <v>50</v>
      </c>
      <c r="C22" s="9" t="s">
        <v>62</v>
      </c>
      <c r="D22" s="33" t="s">
        <v>63</v>
      </c>
      <c r="E22" s="21" t="s">
        <v>64</v>
      </c>
      <c r="F22" s="13"/>
      <c r="G22" s="12"/>
    </row>
    <row r="23" spans="1:19" ht="79.5" customHeight="1">
      <c r="A23" s="20">
        <v>7</v>
      </c>
      <c r="B23" s="9" t="s">
        <v>50</v>
      </c>
      <c r="C23" s="9" t="s">
        <v>65</v>
      </c>
      <c r="D23" s="10" t="s">
        <v>66</v>
      </c>
      <c r="E23" s="9" t="s">
        <v>67</v>
      </c>
      <c r="F23" s="10"/>
      <c r="G23" s="12"/>
    </row>
    <row r="24" spans="1:19" ht="67.2" customHeight="1">
      <c r="A24" s="20">
        <v>8</v>
      </c>
      <c r="B24" s="9" t="s">
        <v>50</v>
      </c>
      <c r="C24" s="9" t="s">
        <v>68</v>
      </c>
      <c r="D24" s="10" t="s">
        <v>69</v>
      </c>
      <c r="E24" s="9" t="s">
        <v>70</v>
      </c>
      <c r="F24" s="10"/>
      <c r="G24" s="12"/>
    </row>
    <row r="25" spans="1:19" ht="249" customHeight="1">
      <c r="A25" s="20">
        <v>9</v>
      </c>
      <c r="B25" s="9" t="s">
        <v>50</v>
      </c>
      <c r="C25" s="9" t="s">
        <v>136</v>
      </c>
      <c r="D25" s="65" t="s">
        <v>137</v>
      </c>
      <c r="E25" s="9" t="s">
        <v>138</v>
      </c>
      <c r="F25" s="12"/>
    </row>
    <row r="26" spans="1:19" ht="94.5" customHeight="1">
      <c r="A26" s="20">
        <v>10</v>
      </c>
      <c r="B26" s="9" t="s">
        <v>98</v>
      </c>
      <c r="C26" s="36" t="s">
        <v>139</v>
      </c>
      <c r="D26" s="22" t="s">
        <v>140</v>
      </c>
      <c r="E26" s="9" t="s">
        <v>103</v>
      </c>
      <c r="F26" s="22"/>
      <c r="G26" s="126"/>
      <c r="H26" s="127"/>
      <c r="I26" s="127"/>
      <c r="J26" s="127"/>
      <c r="K26" s="127"/>
      <c r="L26" s="127"/>
      <c r="M26" s="127"/>
      <c r="N26" s="127"/>
      <c r="O26" s="127"/>
      <c r="P26" s="127"/>
      <c r="Q26" s="127"/>
      <c r="R26" s="127"/>
      <c r="S26" s="127"/>
    </row>
    <row r="27" spans="1:19" ht="103.5" customHeight="1">
      <c r="A27" s="20">
        <v>11</v>
      </c>
      <c r="B27" s="9" t="s">
        <v>98</v>
      </c>
      <c r="C27" s="36" t="s">
        <v>141</v>
      </c>
      <c r="D27" s="22" t="s">
        <v>142</v>
      </c>
      <c r="E27" s="9" t="s">
        <v>106</v>
      </c>
      <c r="F27" s="66"/>
      <c r="G27" s="138"/>
      <c r="H27" s="127"/>
      <c r="I27" s="127"/>
      <c r="J27" s="127"/>
      <c r="K27" s="127"/>
      <c r="L27" s="127"/>
      <c r="M27" s="127"/>
      <c r="N27" s="127"/>
      <c r="O27" s="127"/>
      <c r="P27" s="127"/>
      <c r="Q27" s="127"/>
      <c r="R27" s="127"/>
      <c r="S27" s="127"/>
    </row>
    <row r="28" spans="1:19" ht="245.25" customHeight="1">
      <c r="A28" s="20">
        <v>12</v>
      </c>
      <c r="B28" s="9" t="s">
        <v>98</v>
      </c>
      <c r="C28" s="62" t="s">
        <v>143</v>
      </c>
      <c r="D28" s="22" t="s">
        <v>144</v>
      </c>
      <c r="E28" s="53" t="s">
        <v>145</v>
      </c>
      <c r="F28" s="90"/>
      <c r="G28" s="91"/>
    </row>
    <row r="29" spans="1:19" ht="89.25" customHeight="1">
      <c r="A29" s="20">
        <v>13</v>
      </c>
      <c r="B29" s="9" t="s">
        <v>98</v>
      </c>
      <c r="C29" s="62" t="s">
        <v>143</v>
      </c>
      <c r="D29" s="22" t="s">
        <v>146</v>
      </c>
      <c r="E29" s="53" t="s">
        <v>147</v>
      </c>
      <c r="F29" s="90"/>
      <c r="G29" s="91"/>
    </row>
    <row r="30" spans="1:19" ht="89.25" customHeight="1">
      <c r="A30" s="20">
        <v>14</v>
      </c>
      <c r="B30" s="9" t="s">
        <v>148</v>
      </c>
      <c r="C30" s="62" t="s">
        <v>149</v>
      </c>
      <c r="D30" s="10" t="s">
        <v>150</v>
      </c>
      <c r="E30" s="53" t="s">
        <v>151</v>
      </c>
      <c r="F30" s="67"/>
      <c r="G30" s="90"/>
    </row>
    <row r="31" spans="1:19" ht="89.25" customHeight="1">
      <c r="A31" s="20">
        <v>15</v>
      </c>
      <c r="B31" s="9" t="s">
        <v>152</v>
      </c>
      <c r="C31" s="62" t="s">
        <v>149</v>
      </c>
      <c r="D31" s="10" t="s">
        <v>153</v>
      </c>
      <c r="E31" s="9" t="s">
        <v>151</v>
      </c>
      <c r="F31" s="108"/>
      <c r="G31" s="109"/>
    </row>
    <row r="32" spans="1:19" ht="89.25" customHeight="1">
      <c r="A32" s="20">
        <v>16</v>
      </c>
      <c r="B32" s="9" t="s">
        <v>98</v>
      </c>
      <c r="C32" s="62" t="s">
        <v>143</v>
      </c>
      <c r="D32" s="10" t="s">
        <v>154</v>
      </c>
      <c r="E32" s="9"/>
      <c r="F32" s="10"/>
      <c r="G32" s="14"/>
    </row>
    <row r="33" spans="1:7" ht="89.25" customHeight="1">
      <c r="A33" s="20">
        <v>17</v>
      </c>
      <c r="B33" s="9" t="s">
        <v>98</v>
      </c>
      <c r="C33" s="62" t="s">
        <v>143</v>
      </c>
      <c r="D33" s="10" t="s">
        <v>114</v>
      </c>
      <c r="E33" s="9" t="s">
        <v>115</v>
      </c>
      <c r="F33" s="10"/>
      <c r="G33" s="14"/>
    </row>
    <row r="34" spans="1:7" ht="89.25" customHeight="1">
      <c r="A34" s="20">
        <v>18</v>
      </c>
      <c r="B34" s="9" t="s">
        <v>50</v>
      </c>
      <c r="C34" s="55" t="s">
        <v>116</v>
      </c>
      <c r="D34" s="45" t="s">
        <v>117</v>
      </c>
      <c r="E34" s="40" t="s">
        <v>155</v>
      </c>
      <c r="F34" s="9"/>
      <c r="G34" s="12"/>
    </row>
    <row r="35" spans="1:7" ht="87" customHeight="1">
      <c r="A35" s="20">
        <v>19</v>
      </c>
      <c r="B35" s="9" t="s">
        <v>50</v>
      </c>
      <c r="C35" s="55" t="s">
        <v>116</v>
      </c>
      <c r="D35" s="45" t="s">
        <v>119</v>
      </c>
      <c r="E35" s="24" t="s">
        <v>120</v>
      </c>
      <c r="F35" s="10"/>
      <c r="G35" s="14"/>
    </row>
    <row r="36" spans="1:7" ht="89.25" customHeight="1">
      <c r="A36" s="20">
        <v>20</v>
      </c>
      <c r="B36" s="9" t="s">
        <v>50</v>
      </c>
      <c r="C36" s="55" t="s">
        <v>116</v>
      </c>
      <c r="D36" s="61" t="s">
        <v>121</v>
      </c>
      <c r="E36" s="9" t="s">
        <v>122</v>
      </c>
      <c r="F36" s="10"/>
      <c r="G36" s="14"/>
    </row>
    <row r="37" spans="1:7" ht="105" customHeight="1">
      <c r="A37" s="20">
        <v>21</v>
      </c>
      <c r="B37" s="77" t="s">
        <v>50</v>
      </c>
      <c r="C37" s="131" t="s">
        <v>124</v>
      </c>
      <c r="D37" s="132" t="s">
        <v>125</v>
      </c>
      <c r="E37" s="68" t="s">
        <v>156</v>
      </c>
      <c r="F37" s="75"/>
      <c r="G37" s="76"/>
    </row>
    <row r="38" spans="1:7" ht="79.5" customHeight="1">
      <c r="A38" s="20">
        <v>22</v>
      </c>
      <c r="B38" s="37" t="s">
        <v>50</v>
      </c>
      <c r="C38" s="36" t="s">
        <v>87</v>
      </c>
      <c r="D38" s="66" t="s">
        <v>127</v>
      </c>
      <c r="E38" s="24" t="s">
        <v>89</v>
      </c>
      <c r="F38" s="13"/>
      <c r="G38" s="16"/>
    </row>
    <row r="39" spans="1:7" ht="81.75" customHeight="1">
      <c r="A39" s="20">
        <v>23</v>
      </c>
      <c r="B39" s="37" t="s">
        <v>50</v>
      </c>
      <c r="C39" s="36" t="s">
        <v>87</v>
      </c>
      <c r="D39" s="13" t="s">
        <v>90</v>
      </c>
      <c r="E39" s="24" t="s">
        <v>91</v>
      </c>
      <c r="F39" s="13"/>
      <c r="G39" s="16"/>
    </row>
    <row r="40" spans="1:7" ht="36.6" customHeight="1">
      <c r="E40" s="26"/>
      <c r="G40" s="1"/>
    </row>
    <row r="41" spans="1:7" ht="45" customHeight="1">
      <c r="E41" s="26"/>
      <c r="G41" s="1"/>
    </row>
    <row r="42" spans="1:7" ht="30">
      <c r="E42" s="26"/>
      <c r="G42" s="1"/>
    </row>
    <row r="43" spans="1:7" ht="52.95" customHeight="1">
      <c r="E43" s="26"/>
      <c r="G43" s="1"/>
    </row>
    <row r="44" spans="1:7" ht="30">
      <c r="E44" s="26"/>
      <c r="G44" s="1"/>
    </row>
    <row r="45" spans="1:7" ht="30">
      <c r="E45" s="26"/>
      <c r="G45" s="1"/>
    </row>
    <row r="46" spans="1:7" ht="30">
      <c r="E46" s="26"/>
      <c r="G46" s="1"/>
    </row>
    <row r="47" spans="1:7" ht="30">
      <c r="E47" s="26"/>
      <c r="G47" s="1"/>
    </row>
    <row r="48" spans="1:7" ht="30">
      <c r="E48" s="26"/>
      <c r="G48" s="1"/>
    </row>
    <row r="49" spans="5:7" ht="30">
      <c r="E49" s="26"/>
      <c r="G49" s="1"/>
    </row>
    <row r="50" spans="5:7" ht="30">
      <c r="E50" s="26"/>
      <c r="G50" s="1"/>
    </row>
    <row r="51" spans="5:7" ht="30">
      <c r="E51" s="26"/>
      <c r="G51" s="1"/>
    </row>
    <row r="52" spans="5:7" ht="49.2" customHeight="1">
      <c r="E52" s="26"/>
      <c r="G52" s="1"/>
    </row>
    <row r="53" spans="5:7" ht="30">
      <c r="E53" s="26"/>
      <c r="G53" s="1"/>
    </row>
    <row r="54" spans="5:7" ht="30">
      <c r="E54" s="26"/>
      <c r="G54" s="1"/>
    </row>
    <row r="55" spans="5:7" ht="30">
      <c r="E55" s="26"/>
      <c r="G55" s="1"/>
    </row>
    <row r="56" spans="5:7" ht="30">
      <c r="E56" s="26"/>
      <c r="G56" s="1"/>
    </row>
    <row r="57" spans="5:7" ht="30">
      <c r="E57" s="26"/>
      <c r="G57" s="1"/>
    </row>
    <row r="58" spans="5:7" ht="30">
      <c r="E58" s="26"/>
      <c r="G58" s="1"/>
    </row>
    <row r="59" spans="5:7" ht="30">
      <c r="E59" s="26"/>
      <c r="G59" s="1"/>
    </row>
    <row r="60" spans="5:7" ht="42.6" customHeight="1">
      <c r="E60" s="26"/>
      <c r="G60" s="1"/>
    </row>
    <row r="61" spans="5:7" ht="30">
      <c r="E61" s="26"/>
      <c r="G61" s="1"/>
    </row>
    <row r="62" spans="5:7" ht="34.200000000000003" customHeight="1">
      <c r="E62" s="26"/>
      <c r="G62" s="1"/>
    </row>
    <row r="63" spans="5:7" ht="45.6" customHeight="1">
      <c r="E63" s="26"/>
      <c r="G63" s="1"/>
    </row>
    <row r="64" spans="5:7" ht="40.950000000000003" customHeight="1">
      <c r="E64" s="26"/>
      <c r="G64" s="1"/>
    </row>
    <row r="65" spans="5:7" ht="42.6" customHeight="1">
      <c r="E65" s="26"/>
      <c r="G65" s="1"/>
    </row>
    <row r="66" spans="5:7" ht="30">
      <c r="E66" s="26"/>
      <c r="G66" s="1"/>
    </row>
    <row r="67" spans="5:7" ht="46.95" customHeight="1">
      <c r="E67" s="26"/>
      <c r="G67" s="1"/>
    </row>
    <row r="68" spans="5:7" ht="43.95" customHeight="1">
      <c r="E68" s="26"/>
      <c r="G68" s="1"/>
    </row>
    <row r="69" spans="5:7" ht="52.95" customHeight="1">
      <c r="E69" s="26"/>
      <c r="G69" s="1"/>
    </row>
    <row r="70" spans="5:7" ht="30">
      <c r="E70" s="26"/>
      <c r="G70" s="1"/>
    </row>
    <row r="71" spans="5:7" ht="30">
      <c r="E71" s="26"/>
      <c r="G71" s="1"/>
    </row>
    <row r="72" spans="5:7" ht="30">
      <c r="E72" s="26"/>
      <c r="G72" s="1"/>
    </row>
    <row r="73" spans="5:7" ht="51" customHeight="1">
      <c r="E73" s="26"/>
      <c r="G73" s="1"/>
    </row>
    <row r="74" spans="5:7" ht="37.950000000000003" customHeight="1">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30">
      <c r="E908" s="26"/>
      <c r="G908" s="1"/>
    </row>
    <row r="909" spans="5:7" ht="30">
      <c r="E909" s="26"/>
      <c r="G909" s="1"/>
    </row>
    <row r="910" spans="5:7" ht="30">
      <c r="E910" s="26"/>
      <c r="G910" s="1"/>
    </row>
    <row r="911" spans="5:7" ht="30">
      <c r="E911" s="26"/>
      <c r="G911" s="1"/>
    </row>
    <row r="912" spans="5:7" ht="30">
      <c r="E912" s="26"/>
      <c r="G912" s="1"/>
    </row>
    <row r="913" spans="5:7" ht="30">
      <c r="E913" s="26"/>
      <c r="G913" s="1"/>
    </row>
    <row r="914" spans="5:7" ht="30">
      <c r="E914" s="26"/>
      <c r="G914" s="1"/>
    </row>
    <row r="915" spans="5:7" ht="30">
      <c r="E915" s="26"/>
      <c r="G915" s="1"/>
    </row>
    <row r="916" spans="5:7" ht="30">
      <c r="E916" s="26"/>
      <c r="G916" s="1"/>
    </row>
    <row r="917" spans="5:7" ht="13.2"/>
    <row r="918" spans="5:7" ht="13.2"/>
    <row r="919" spans="5:7" ht="13.2"/>
    <row r="920" spans="5:7" ht="13.2"/>
    <row r="921" spans="5:7" ht="13.2"/>
    <row r="922" spans="5:7" ht="13.2"/>
    <row r="923" spans="5:7" ht="13.2"/>
  </sheetData>
  <mergeCells count="1">
    <mergeCell ref="A1:G4"/>
  </mergeCells>
  <conditionalFormatting sqref="E18:E19 E40:E916">
    <cfRule type="containsText" dxfId="33" priority="11" operator="containsText" text="نجح">
      <formula>NOT(ISERROR(SEARCH(("نجح"),(E18))))</formula>
    </cfRule>
    <cfRule type="containsText" dxfId="32" priority="12" operator="containsText" text="فشل">
      <formula>NOT(ISERROR(SEARCH(("فشل"),(E18))))</formula>
    </cfRule>
  </conditionalFormatting>
  <conditionalFormatting sqref="E23">
    <cfRule type="containsText" dxfId="31" priority="9" operator="containsText" text="نجح">
      <formula>NOT(ISERROR(SEARCH(("نجح"),(E23))))</formula>
    </cfRule>
    <cfRule type="containsText" dxfId="30" priority="10" operator="containsText" text="فشل">
      <formula>NOT(ISERROR(SEARCH(("فشل"),(E23))))</formula>
    </cfRule>
  </conditionalFormatting>
  <conditionalFormatting sqref="E28:E32">
    <cfRule type="containsText" dxfId="29" priority="3" operator="containsText" text="نجح">
      <formula>NOT(ISERROR(SEARCH(("نجح"),(E28))))</formula>
    </cfRule>
    <cfRule type="containsText" dxfId="28" priority="4" operator="containsText" text="فشل">
      <formula>NOT(ISERROR(SEARCH(("فشل"),(E28))))</formula>
    </cfRule>
  </conditionalFormatting>
  <conditionalFormatting sqref="E35:E37">
    <cfRule type="containsText" dxfId="27" priority="1" operator="containsText" text="نجح">
      <formula>NOT(ISERROR(SEARCH(("نجح"),(E35))))</formula>
    </cfRule>
    <cfRule type="containsText" dxfId="26" priority="2" operator="containsText" text="فشل">
      <formula>NOT(ISERROR(SEARCH(("فشل"),(E35))))</formula>
    </cfRule>
  </conditionalFormatting>
  <dataValidations count="2">
    <dataValidation showDropDown="1" showInputMessage="1" showErrorMessage="1" sqref="C6:D6" xr:uid="{44D798A1-39AD-4B33-8375-0E57496BFB9D}"/>
    <dataValidation type="list" allowBlank="1" showInputMessage="1" showErrorMessage="1" sqref="F33 G17:G24 F25:F27 G26:G27" xr:uid="{B295D286-F738-49FC-BBCB-A783F7AF74BD}">
      <formula1>$F$9:$F$10</formula1>
    </dataValidation>
  </dataValidations>
  <pageMargins left="0.7" right="0.7" top="0.75" bottom="0.75" header="0.3" footer="0.3"/>
  <pageSetup paperSize="9"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0517-1E95-4258-B486-FA0994F5D43C}">
  <sheetPr>
    <outlinePr summaryBelow="0" summaryRight="0"/>
  </sheetPr>
  <dimension ref="A1:S917"/>
  <sheetViews>
    <sheetView rightToLeft="1" zoomScale="21" zoomScaleNormal="100" workbookViewId="0">
      <selection activeCell="D21" sqref="D21"/>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15.75" customHeight="1">
      <c r="A1" s="148"/>
      <c r="B1" s="148"/>
      <c r="C1" s="148"/>
      <c r="D1" s="148"/>
      <c r="E1" s="148"/>
      <c r="F1" s="148"/>
      <c r="G1" s="148"/>
    </row>
    <row r="2" spans="1:19" ht="15.75" customHeight="1">
      <c r="A2" s="148"/>
      <c r="B2" s="148"/>
      <c r="C2" s="148"/>
      <c r="D2" s="148"/>
      <c r="E2" s="148"/>
      <c r="F2" s="148"/>
      <c r="G2" s="148"/>
    </row>
    <row r="3" spans="1:19" ht="15.75" customHeight="1">
      <c r="A3" s="148"/>
      <c r="B3" s="148"/>
      <c r="C3" s="148"/>
      <c r="D3" s="148"/>
      <c r="E3" s="148"/>
      <c r="F3" s="148"/>
      <c r="G3" s="148"/>
    </row>
    <row r="4" spans="1:19" ht="39.6" customHeight="1">
      <c r="A4" s="149"/>
      <c r="B4" s="149"/>
      <c r="C4" s="149"/>
      <c r="D4" s="149"/>
      <c r="E4" s="149"/>
      <c r="F4" s="149"/>
      <c r="G4" s="149"/>
    </row>
    <row r="5" spans="1:19" ht="1.2" customHeight="1">
      <c r="A5" s="4"/>
      <c r="B5" s="4"/>
      <c r="C5" s="4"/>
      <c r="D5" s="4"/>
      <c r="E5" s="25"/>
      <c r="F5" s="4"/>
      <c r="G5" s="4"/>
    </row>
    <row r="6" spans="1:19" ht="22.8">
      <c r="A6" s="4"/>
      <c r="B6" s="4"/>
      <c r="C6" s="5"/>
      <c r="D6" s="5"/>
      <c r="E6" s="25"/>
      <c r="F6" s="4"/>
      <c r="G6" s="4"/>
    </row>
    <row r="7" spans="1:19" ht="22.8">
      <c r="A7" s="4"/>
      <c r="B7" s="4"/>
      <c r="C7" s="5"/>
      <c r="D7" s="5"/>
      <c r="E7" s="25"/>
      <c r="F7" s="4"/>
      <c r="G7" s="4"/>
      <c r="O7" s="130"/>
      <c r="P7" s="130"/>
      <c r="Q7" s="130"/>
      <c r="R7" s="130"/>
      <c r="S7" s="130"/>
    </row>
    <row r="8" spans="1:19" ht="22.8">
      <c r="A8" s="58" t="s">
        <v>2</v>
      </c>
      <c r="B8" s="59" t="s">
        <v>38</v>
      </c>
      <c r="C8" s="5"/>
      <c r="D8" s="5"/>
      <c r="E8" s="25"/>
      <c r="F8" s="4"/>
      <c r="G8" s="4"/>
      <c r="O8" s="130"/>
      <c r="P8" s="130"/>
      <c r="Q8" s="130"/>
      <c r="R8" s="130"/>
      <c r="S8" s="130"/>
    </row>
    <row r="9" spans="1:19" ht="51.75" customHeight="1">
      <c r="A9" s="32" t="s">
        <v>39</v>
      </c>
      <c r="B9" s="57" t="s">
        <v>157</v>
      </c>
      <c r="C9" s="5"/>
      <c r="D9" s="5"/>
      <c r="E9" s="25"/>
      <c r="F9" s="31" t="s">
        <v>41</v>
      </c>
      <c r="G9" s="4"/>
      <c r="M9" s="133"/>
      <c r="N9" s="133"/>
      <c r="O9" s="7"/>
      <c r="P9" s="7"/>
      <c r="Q9" s="7"/>
      <c r="R9" s="130"/>
      <c r="S9" s="130"/>
    </row>
    <row r="10" spans="1:19" ht="39" customHeight="1">
      <c r="A10" s="4"/>
      <c r="B10" s="4"/>
      <c r="C10" s="4"/>
      <c r="D10" s="4"/>
      <c r="E10" s="25"/>
      <c r="F10" s="31" t="s">
        <v>8</v>
      </c>
      <c r="G10" s="4"/>
      <c r="M10" s="133"/>
      <c r="N10" s="133"/>
      <c r="O10" s="7" t="s">
        <v>41</v>
      </c>
      <c r="P10" s="7">
        <f>COUNTIF(G:H,"نجح")</f>
        <v>0</v>
      </c>
      <c r="Q10" s="7"/>
      <c r="R10" s="130"/>
      <c r="S10" s="130"/>
    </row>
    <row r="11" spans="1:19" ht="48" customHeight="1">
      <c r="A11" s="4"/>
      <c r="B11" s="4"/>
      <c r="C11" s="4"/>
      <c r="D11" s="4"/>
      <c r="E11" s="25"/>
      <c r="F11" s="31"/>
      <c r="G11" s="4"/>
      <c r="M11" s="133"/>
      <c r="N11" s="133"/>
      <c r="O11" s="7"/>
      <c r="P11" s="7"/>
      <c r="Q11" s="7"/>
      <c r="R11" s="130"/>
      <c r="S11" s="130"/>
    </row>
    <row r="12" spans="1:19" ht="68.25" customHeight="1">
      <c r="A12" s="4"/>
      <c r="B12" s="4"/>
      <c r="C12" s="4"/>
      <c r="D12" s="4"/>
      <c r="E12" s="25"/>
      <c r="F12" s="4"/>
      <c r="G12" s="4"/>
      <c r="M12" s="133"/>
      <c r="N12" s="133"/>
      <c r="O12" s="7" t="s">
        <v>8</v>
      </c>
      <c r="P12" s="7">
        <f>COUNTIF(G:H,"فشل")</f>
        <v>0</v>
      </c>
      <c r="Q12" s="7"/>
      <c r="R12" s="130"/>
      <c r="S12" s="130"/>
    </row>
    <row r="13" spans="1:19" ht="25.2" customHeight="1">
      <c r="A13" s="4"/>
      <c r="B13" s="4"/>
      <c r="C13" s="4"/>
      <c r="D13" s="4"/>
      <c r="E13" s="25"/>
      <c r="F13" s="4"/>
      <c r="G13" s="4"/>
      <c r="P13" s="130"/>
      <c r="Q13" s="130"/>
      <c r="R13" s="130"/>
      <c r="S13" s="130"/>
    </row>
    <row r="14" spans="1:19" ht="13.2">
      <c r="A14" s="4"/>
      <c r="B14" s="4"/>
      <c r="C14" s="4"/>
      <c r="D14" s="4"/>
      <c r="E14" s="25"/>
      <c r="F14" s="4"/>
      <c r="G14" s="4"/>
      <c r="P14" s="130"/>
      <c r="Q14" s="130"/>
      <c r="R14" s="130"/>
      <c r="S14" s="130"/>
    </row>
    <row r="15" spans="1:19" ht="13.2">
      <c r="A15" s="4"/>
      <c r="B15" s="4"/>
      <c r="C15" s="4"/>
      <c r="D15" s="4"/>
      <c r="E15" s="25"/>
      <c r="F15" s="4"/>
      <c r="G15" s="4"/>
      <c r="P15" s="130"/>
      <c r="Q15" s="130"/>
      <c r="R15" s="130"/>
      <c r="S15" s="130"/>
    </row>
    <row r="16" spans="1:19" s="8" customFormat="1" ht="34.799999999999997">
      <c r="A16" s="63" t="s">
        <v>43</v>
      </c>
      <c r="B16" s="18" t="s">
        <v>44</v>
      </c>
      <c r="C16" s="18" t="s">
        <v>45</v>
      </c>
      <c r="D16" s="18" t="s">
        <v>46</v>
      </c>
      <c r="E16" s="18" t="s">
        <v>47</v>
      </c>
      <c r="F16" s="18" t="s">
        <v>48</v>
      </c>
      <c r="G16" s="18" t="s">
        <v>49</v>
      </c>
    </row>
    <row r="17" spans="1:7" ht="90" customHeight="1">
      <c r="A17" s="20">
        <v>1</v>
      </c>
      <c r="B17" s="9" t="s">
        <v>50</v>
      </c>
      <c r="C17" s="9" t="s">
        <v>51</v>
      </c>
      <c r="D17" s="39" t="s">
        <v>52</v>
      </c>
      <c r="E17" s="9" t="s">
        <v>53</v>
      </c>
      <c r="F17" s="9"/>
      <c r="G17" s="12"/>
    </row>
    <row r="18" spans="1:7" ht="255" customHeight="1">
      <c r="A18" s="20">
        <v>2</v>
      </c>
      <c r="B18" s="9" t="s">
        <v>50</v>
      </c>
      <c r="C18" s="9" t="s">
        <v>51</v>
      </c>
      <c r="D18" s="64" t="s">
        <v>132</v>
      </c>
      <c r="E18" s="24" t="s">
        <v>55</v>
      </c>
      <c r="F18" s="10"/>
      <c r="G18" s="12"/>
    </row>
    <row r="19" spans="1:7" ht="291" customHeight="1">
      <c r="A19" s="20">
        <v>3</v>
      </c>
      <c r="B19" s="9" t="s">
        <v>50</v>
      </c>
      <c r="C19" s="9" t="s">
        <v>56</v>
      </c>
      <c r="D19" s="33" t="s">
        <v>94</v>
      </c>
      <c r="E19" s="21" t="s">
        <v>58</v>
      </c>
      <c r="F19" s="13"/>
      <c r="G19" s="12"/>
    </row>
    <row r="20" spans="1:7" ht="99.75" customHeight="1">
      <c r="A20" s="20">
        <v>4</v>
      </c>
      <c r="B20" s="9" t="s">
        <v>50</v>
      </c>
      <c r="C20" s="9" t="s">
        <v>59</v>
      </c>
      <c r="D20" s="15" t="s">
        <v>60</v>
      </c>
      <c r="E20" s="21" t="s">
        <v>61</v>
      </c>
      <c r="F20" s="10"/>
      <c r="G20" s="12"/>
    </row>
    <row r="21" spans="1:7" ht="177" customHeight="1">
      <c r="A21" s="20">
        <v>5</v>
      </c>
      <c r="B21" s="9" t="s">
        <v>50</v>
      </c>
      <c r="C21" s="9" t="s">
        <v>62</v>
      </c>
      <c r="D21" s="33" t="s">
        <v>63</v>
      </c>
      <c r="E21" s="21" t="s">
        <v>64</v>
      </c>
      <c r="F21" s="13"/>
      <c r="G21" s="12"/>
    </row>
    <row r="22" spans="1:7" ht="79.5" customHeight="1">
      <c r="A22" s="20">
        <v>6</v>
      </c>
      <c r="B22" s="9" t="s">
        <v>50</v>
      </c>
      <c r="C22" s="9" t="s">
        <v>65</v>
      </c>
      <c r="D22" s="10" t="s">
        <v>66</v>
      </c>
      <c r="E22" s="9" t="s">
        <v>67</v>
      </c>
      <c r="F22" s="13"/>
      <c r="G22" s="93"/>
    </row>
    <row r="23" spans="1:7" ht="67.2" customHeight="1">
      <c r="A23" s="20">
        <v>7</v>
      </c>
      <c r="B23" s="9" t="s">
        <v>50</v>
      </c>
      <c r="C23" s="9" t="s">
        <v>68</v>
      </c>
      <c r="D23" s="10" t="s">
        <v>69</v>
      </c>
      <c r="E23" s="53" t="s">
        <v>70</v>
      </c>
      <c r="F23" s="67"/>
      <c r="G23" s="90"/>
    </row>
    <row r="24" spans="1:7" ht="99.75" customHeight="1">
      <c r="A24" s="20">
        <v>8</v>
      </c>
      <c r="B24" s="9" t="s">
        <v>50</v>
      </c>
      <c r="C24" s="36" t="s">
        <v>158</v>
      </c>
      <c r="D24" s="13" t="s">
        <v>159</v>
      </c>
      <c r="E24" s="104" t="s">
        <v>160</v>
      </c>
      <c r="F24" s="90"/>
      <c r="G24" s="91"/>
    </row>
    <row r="25" spans="1:7" ht="123.75" customHeight="1">
      <c r="A25" s="20">
        <v>9</v>
      </c>
      <c r="B25" s="28" t="s">
        <v>161</v>
      </c>
      <c r="C25" s="9" t="s">
        <v>162</v>
      </c>
      <c r="D25" s="54" t="s">
        <v>163</v>
      </c>
      <c r="E25" s="53" t="s">
        <v>101</v>
      </c>
      <c r="F25" s="90"/>
      <c r="G25" s="91"/>
    </row>
    <row r="26" spans="1:7" ht="119.25" customHeight="1">
      <c r="A26" s="20">
        <v>10</v>
      </c>
      <c r="B26" s="28" t="s">
        <v>161</v>
      </c>
      <c r="C26" s="9" t="s">
        <v>164</v>
      </c>
      <c r="D26" s="22" t="s">
        <v>165</v>
      </c>
      <c r="E26" s="53" t="s">
        <v>166</v>
      </c>
      <c r="F26" s="90"/>
      <c r="G26" s="91"/>
    </row>
    <row r="27" spans="1:7" ht="155.25" customHeight="1">
      <c r="A27" s="20">
        <v>11</v>
      </c>
      <c r="B27" s="28" t="s">
        <v>167</v>
      </c>
      <c r="C27" s="9" t="s">
        <v>168</v>
      </c>
      <c r="D27" s="22" t="s">
        <v>169</v>
      </c>
      <c r="E27" s="53" t="s">
        <v>170</v>
      </c>
      <c r="F27" s="90"/>
      <c r="G27" s="91"/>
    </row>
    <row r="28" spans="1:7" ht="107.25" customHeight="1">
      <c r="A28" s="20">
        <v>12</v>
      </c>
      <c r="B28" s="28" t="s">
        <v>171</v>
      </c>
      <c r="C28" s="9" t="s">
        <v>172</v>
      </c>
      <c r="D28" s="54" t="s">
        <v>173</v>
      </c>
      <c r="E28" s="53" t="s">
        <v>174</v>
      </c>
      <c r="F28" s="90"/>
      <c r="G28" s="91"/>
    </row>
    <row r="29" spans="1:7" ht="96.75" customHeight="1">
      <c r="A29" s="20">
        <v>13</v>
      </c>
      <c r="B29" s="28" t="s">
        <v>171</v>
      </c>
      <c r="C29" s="9" t="s">
        <v>172</v>
      </c>
      <c r="D29" s="22" t="s">
        <v>111</v>
      </c>
      <c r="E29" s="53" t="s">
        <v>109</v>
      </c>
      <c r="F29" s="90"/>
      <c r="G29" s="91"/>
    </row>
    <row r="30" spans="1:7" ht="135" customHeight="1">
      <c r="A30" s="20">
        <v>14</v>
      </c>
      <c r="B30" s="28" t="s">
        <v>171</v>
      </c>
      <c r="C30" s="9" t="s">
        <v>172</v>
      </c>
      <c r="D30" s="66" t="s">
        <v>80</v>
      </c>
      <c r="E30" s="104" t="s">
        <v>113</v>
      </c>
      <c r="F30" s="90"/>
      <c r="G30" s="91"/>
    </row>
    <row r="31" spans="1:7" ht="135" customHeight="1">
      <c r="A31" s="20">
        <v>15</v>
      </c>
      <c r="B31" s="28" t="s">
        <v>171</v>
      </c>
      <c r="C31" s="9" t="s">
        <v>172</v>
      </c>
      <c r="D31" s="10" t="s">
        <v>114</v>
      </c>
      <c r="E31" s="53" t="s">
        <v>175</v>
      </c>
      <c r="F31" s="67"/>
      <c r="G31" s="90"/>
    </row>
    <row r="32" spans="1:7" ht="96.75" customHeight="1">
      <c r="A32" s="20">
        <v>16</v>
      </c>
      <c r="B32" s="35" t="s">
        <v>50</v>
      </c>
      <c r="C32" s="36" t="s">
        <v>116</v>
      </c>
      <c r="D32" s="22" t="s">
        <v>117</v>
      </c>
      <c r="E32" s="9" t="s">
        <v>155</v>
      </c>
      <c r="F32" s="108"/>
      <c r="G32" s="109"/>
    </row>
    <row r="33" spans="1:7" ht="118.5" customHeight="1">
      <c r="A33" s="20">
        <v>17</v>
      </c>
      <c r="B33" s="35" t="s">
        <v>50</v>
      </c>
      <c r="C33" s="36" t="s">
        <v>116</v>
      </c>
      <c r="D33" s="22" t="s">
        <v>119</v>
      </c>
      <c r="E33" s="9" t="s">
        <v>120</v>
      </c>
      <c r="F33" s="10"/>
      <c r="G33" s="14"/>
    </row>
    <row r="34" spans="1:7" ht="106.5" customHeight="1">
      <c r="A34" s="20">
        <v>18</v>
      </c>
      <c r="B34" s="35" t="s">
        <v>50</v>
      </c>
      <c r="C34" s="36" t="s">
        <v>116</v>
      </c>
      <c r="D34" s="22" t="s">
        <v>121</v>
      </c>
      <c r="E34" s="9" t="s">
        <v>122</v>
      </c>
      <c r="F34" s="10"/>
      <c r="G34" s="14"/>
    </row>
    <row r="35" spans="1:7" ht="106.5" customHeight="1">
      <c r="A35" s="20">
        <v>19</v>
      </c>
      <c r="B35" s="35" t="s">
        <v>123</v>
      </c>
      <c r="C35" s="36" t="s">
        <v>124</v>
      </c>
      <c r="D35" s="22" t="s">
        <v>125</v>
      </c>
      <c r="E35" s="22" t="s">
        <v>156</v>
      </c>
      <c r="F35" s="10"/>
      <c r="G35" s="14"/>
    </row>
    <row r="36" spans="1:7" ht="124.5" customHeight="1">
      <c r="A36" s="20">
        <v>20</v>
      </c>
      <c r="B36" s="35" t="s">
        <v>50</v>
      </c>
      <c r="C36" s="36" t="s">
        <v>87</v>
      </c>
      <c r="D36" s="66" t="s">
        <v>127</v>
      </c>
      <c r="E36" s="9" t="s">
        <v>89</v>
      </c>
      <c r="F36" s="10"/>
      <c r="G36" s="14"/>
    </row>
    <row r="37" spans="1:7" ht="117.75" customHeight="1">
      <c r="A37" s="20">
        <v>21</v>
      </c>
      <c r="B37" s="37" t="s">
        <v>50</v>
      </c>
      <c r="C37" s="36" t="s">
        <v>87</v>
      </c>
      <c r="D37" s="66" t="s">
        <v>90</v>
      </c>
      <c r="E37" s="24" t="s">
        <v>91</v>
      </c>
      <c r="F37" s="13"/>
      <c r="G37" s="16"/>
    </row>
    <row r="38" spans="1:7" ht="30">
      <c r="E38" s="26"/>
      <c r="G38" s="1"/>
    </row>
    <row r="39" spans="1:7" ht="30">
      <c r="E39" s="26"/>
      <c r="G39" s="1"/>
    </row>
    <row r="40" spans="1:7" ht="30">
      <c r="E40" s="26"/>
      <c r="G40" s="1"/>
    </row>
    <row r="41" spans="1:7" ht="30">
      <c r="E41" s="26"/>
      <c r="G41" s="1"/>
    </row>
    <row r="42" spans="1:7" ht="30">
      <c r="E42" s="26"/>
      <c r="G42" s="1"/>
    </row>
    <row r="43" spans="1:7" ht="30">
      <c r="E43" s="26"/>
      <c r="G43" s="1"/>
    </row>
    <row r="44" spans="1:7" ht="30">
      <c r="E44" s="26"/>
      <c r="G44" s="1"/>
    </row>
    <row r="45" spans="1:7" ht="30">
      <c r="E45" s="26"/>
      <c r="G45" s="1"/>
    </row>
    <row r="46" spans="1:7" ht="49.2" customHeight="1">
      <c r="E46" s="26"/>
      <c r="G46" s="1"/>
    </row>
    <row r="47" spans="1:7" ht="30">
      <c r="E47" s="26"/>
      <c r="G47" s="1"/>
    </row>
    <row r="48" spans="1: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42.6" customHeight="1">
      <c r="E54" s="26"/>
      <c r="G54" s="1"/>
    </row>
    <row r="55" spans="5:7" ht="30">
      <c r="E55" s="26"/>
      <c r="G55" s="1"/>
    </row>
    <row r="56" spans="5:7" ht="34.200000000000003" customHeight="1">
      <c r="E56" s="26"/>
      <c r="G56" s="1"/>
    </row>
    <row r="57" spans="5:7" ht="45.6" customHeight="1">
      <c r="E57" s="26"/>
      <c r="G57" s="1"/>
    </row>
    <row r="58" spans="5:7" ht="40.950000000000003" customHeight="1">
      <c r="E58" s="26"/>
      <c r="G58" s="1"/>
    </row>
    <row r="59" spans="5:7" ht="42.6" customHeight="1">
      <c r="E59" s="26"/>
      <c r="G59" s="1"/>
    </row>
    <row r="60" spans="5:7" ht="30">
      <c r="E60" s="26"/>
      <c r="G60" s="1"/>
    </row>
    <row r="61" spans="5:7" ht="46.95" customHeight="1">
      <c r="E61" s="26"/>
      <c r="G61" s="1"/>
    </row>
    <row r="62" spans="5:7" ht="43.95" customHeight="1">
      <c r="E62" s="26"/>
      <c r="G62" s="1"/>
    </row>
    <row r="63" spans="5:7" ht="52.95" customHeight="1">
      <c r="E63" s="26"/>
      <c r="G63" s="1"/>
    </row>
    <row r="64" spans="5:7" ht="30">
      <c r="E64" s="26"/>
      <c r="G64" s="1"/>
    </row>
    <row r="65" spans="5:7" ht="30">
      <c r="E65" s="26"/>
      <c r="G65" s="1"/>
    </row>
    <row r="66" spans="5:7" ht="30">
      <c r="E66" s="26"/>
      <c r="G66" s="1"/>
    </row>
    <row r="67" spans="5:7" ht="51" customHeight="1">
      <c r="E67" s="26"/>
      <c r="G67" s="1"/>
    </row>
    <row r="68" spans="5:7" ht="37.950000000000003" customHeight="1">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30">
      <c r="E908" s="26"/>
      <c r="G908" s="1"/>
    </row>
    <row r="909" spans="5:7" ht="30">
      <c r="E909" s="26"/>
      <c r="G909" s="1"/>
    </row>
    <row r="910" spans="5:7" ht="30">
      <c r="E910" s="26"/>
      <c r="G910" s="1"/>
    </row>
    <row r="911" spans="5:7" ht="30">
      <c r="E911" s="26"/>
      <c r="G911" s="1"/>
    </row>
    <row r="912" spans="5:7" ht="13.2"/>
    <row r="913" ht="13.2"/>
    <row r="914" ht="13.2"/>
    <row r="915" ht="13.2"/>
    <row r="916" ht="13.2"/>
    <row r="917" ht="13.2"/>
  </sheetData>
  <mergeCells count="1">
    <mergeCell ref="A1:G4"/>
  </mergeCells>
  <conditionalFormatting sqref="E18 E25 E38:E911">
    <cfRule type="containsText" dxfId="25" priority="13" operator="containsText" text="نجح">
      <formula>NOT(ISERROR(SEARCH(("نجح"),(E18))))</formula>
    </cfRule>
    <cfRule type="containsText" dxfId="24" priority="14" operator="containsText" text="فشل">
      <formula>NOT(ISERROR(SEARCH(("فشل"),(E18))))</formula>
    </cfRule>
  </conditionalFormatting>
  <conditionalFormatting sqref="E22">
    <cfRule type="containsText" dxfId="23" priority="11" operator="containsText" text="نجح">
      <formula>NOT(ISERROR(SEARCH(("نجح"),(E22))))</formula>
    </cfRule>
    <cfRule type="containsText" dxfId="22" priority="12" operator="containsText" text="فشل">
      <formula>NOT(ISERROR(SEARCH(("فشل"),(E22))))</formula>
    </cfRule>
  </conditionalFormatting>
  <conditionalFormatting sqref="E27:E28">
    <cfRule type="containsText" dxfId="21" priority="1" operator="containsText" text="نجح">
      <formula>NOT(ISERROR(SEARCH(("نجح"),(E27))))</formula>
    </cfRule>
    <cfRule type="containsText" dxfId="20" priority="2" operator="containsText" text="فشل">
      <formula>NOT(ISERROR(SEARCH(("فشل"),(E27))))</formula>
    </cfRule>
  </conditionalFormatting>
  <conditionalFormatting sqref="E33:E35">
    <cfRule type="containsText" dxfId="19" priority="3" operator="containsText" text="نجح">
      <formula>NOT(ISERROR(SEARCH(("نجح"),(E33))))</formula>
    </cfRule>
    <cfRule type="containsText" dxfId="18" priority="4" operator="containsText" text="فشل">
      <formula>NOT(ISERROR(SEARCH(("فشل"),(E33))))</formula>
    </cfRule>
  </conditionalFormatting>
  <dataValidations count="2">
    <dataValidation showDropDown="1" showInputMessage="1" showErrorMessage="1" sqref="C6:D6" xr:uid="{92ABF68A-8269-48F1-B3C5-9500A060E05F}"/>
    <dataValidation type="list" allowBlank="1" showInputMessage="1" showErrorMessage="1" sqref="F24 G17:G23 F29:F31" xr:uid="{F3ED9425-EC67-422C-B2ED-4A6CC74DD4BE}">
      <formula1>$F$9:$F$10</formula1>
    </dataValidation>
  </dataValidations>
  <pageMargins left="0.7" right="0.7" top="0.75" bottom="0.75" header="0.3" footer="0.3"/>
  <pageSetup paperSize="9" orientation="portrait"/>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4058-3E1A-4607-B745-ADC29585483F}">
  <sheetPr>
    <outlinePr summaryBelow="0" summaryRight="0"/>
  </sheetPr>
  <dimension ref="A1:S926"/>
  <sheetViews>
    <sheetView rightToLeft="1" zoomScale="28" zoomScaleNormal="100" workbookViewId="0">
      <selection activeCell="B12" sqref="B12"/>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15.75" customHeight="1">
      <c r="A1" s="148"/>
      <c r="B1" s="148"/>
      <c r="C1" s="148"/>
      <c r="D1" s="148"/>
      <c r="E1" s="148"/>
      <c r="F1" s="148"/>
      <c r="G1" s="148"/>
    </row>
    <row r="2" spans="1:19" ht="15.75" customHeight="1">
      <c r="A2" s="148"/>
      <c r="B2" s="148"/>
      <c r="C2" s="148"/>
      <c r="D2" s="148"/>
      <c r="E2" s="148"/>
      <c r="F2" s="148"/>
      <c r="G2" s="148"/>
    </row>
    <row r="3" spans="1:19" ht="15.75" customHeight="1">
      <c r="A3" s="148"/>
      <c r="B3" s="148"/>
      <c r="C3" s="148"/>
      <c r="D3" s="148"/>
      <c r="E3" s="148"/>
      <c r="F3" s="148"/>
      <c r="G3" s="148"/>
    </row>
    <row r="4" spans="1:19" ht="39.6" customHeight="1">
      <c r="A4" s="149"/>
      <c r="B4" s="149"/>
      <c r="C4" s="149"/>
      <c r="D4" s="149"/>
      <c r="E4" s="149"/>
      <c r="F4" s="149"/>
      <c r="G4" s="149"/>
    </row>
    <row r="5" spans="1:19" ht="1.2" customHeight="1">
      <c r="A5" s="4"/>
      <c r="B5" s="4"/>
      <c r="C5" s="4"/>
      <c r="D5" s="4"/>
      <c r="E5" s="25"/>
      <c r="F5" s="4"/>
      <c r="G5" s="4"/>
    </row>
    <row r="6" spans="1:19" ht="22.8">
      <c r="A6" s="4"/>
      <c r="B6" s="4"/>
      <c r="C6" s="5"/>
      <c r="D6" s="5"/>
      <c r="E6" s="25"/>
      <c r="F6" s="4"/>
      <c r="G6" s="4"/>
    </row>
    <row r="7" spans="1:19" ht="22.8">
      <c r="A7" s="4"/>
      <c r="B7" s="4"/>
      <c r="C7" s="5"/>
      <c r="D7" s="5"/>
      <c r="E7" s="25"/>
      <c r="F7" s="4"/>
      <c r="G7" s="4"/>
      <c r="O7" s="130"/>
      <c r="P7" s="130"/>
      <c r="Q7" s="130"/>
      <c r="R7" s="130"/>
      <c r="S7" s="130"/>
    </row>
    <row r="8" spans="1:19" ht="22.8">
      <c r="A8" s="58" t="s">
        <v>2</v>
      </c>
      <c r="B8" s="59" t="s">
        <v>38</v>
      </c>
      <c r="C8" s="5"/>
      <c r="D8" s="5"/>
      <c r="E8" s="25"/>
      <c r="F8" s="4"/>
      <c r="G8" s="4"/>
      <c r="O8" s="130"/>
      <c r="P8" s="130"/>
      <c r="Q8" s="130"/>
      <c r="R8" s="130"/>
      <c r="S8" s="130"/>
    </row>
    <row r="9" spans="1:19" ht="51.75" customHeight="1">
      <c r="A9" s="32" t="s">
        <v>39</v>
      </c>
      <c r="B9" s="57" t="s">
        <v>176</v>
      </c>
      <c r="C9" s="5"/>
      <c r="D9" s="5"/>
      <c r="E9" s="25"/>
      <c r="F9" s="31" t="s">
        <v>41</v>
      </c>
      <c r="G9" s="4"/>
      <c r="O9" s="130"/>
      <c r="P9" s="130"/>
      <c r="Q9" s="130"/>
      <c r="R9" s="130"/>
      <c r="S9" s="130"/>
    </row>
    <row r="10" spans="1:19" ht="39" customHeight="1">
      <c r="A10" s="4"/>
      <c r="B10" s="4"/>
      <c r="C10" s="4"/>
      <c r="D10" s="4"/>
      <c r="E10" s="25"/>
      <c r="F10" s="31" t="s">
        <v>8</v>
      </c>
      <c r="G10" s="4"/>
      <c r="N10" s="133"/>
      <c r="O10" s="7" t="s">
        <v>41</v>
      </c>
      <c r="P10" s="7">
        <f>COUNTIF(G:H,"نجح")</f>
        <v>0</v>
      </c>
      <c r="Q10" s="130"/>
      <c r="R10" s="130"/>
      <c r="S10" s="130"/>
    </row>
    <row r="11" spans="1:19" ht="48" customHeight="1">
      <c r="A11" s="4"/>
      <c r="B11" s="4"/>
      <c r="C11" s="4"/>
      <c r="D11" s="4"/>
      <c r="E11" s="25"/>
      <c r="F11" s="31"/>
      <c r="G11" s="4"/>
      <c r="N11" s="133"/>
      <c r="O11" s="7"/>
      <c r="P11" s="7"/>
      <c r="Q11" s="130"/>
      <c r="R11" s="130"/>
      <c r="S11" s="130"/>
    </row>
    <row r="12" spans="1:19" ht="68.25" customHeight="1">
      <c r="A12" s="4"/>
      <c r="B12" s="4"/>
      <c r="C12" s="4"/>
      <c r="D12" s="4"/>
      <c r="E12" s="25"/>
      <c r="F12" s="4"/>
      <c r="G12" s="4"/>
      <c r="N12" s="133"/>
      <c r="O12" s="7" t="s">
        <v>8</v>
      </c>
      <c r="P12" s="7">
        <f>COUNTIF(G:H,"فشل")</f>
        <v>0</v>
      </c>
      <c r="Q12" s="130"/>
      <c r="R12" s="130"/>
      <c r="S12" s="130"/>
    </row>
    <row r="13" spans="1:19" ht="25.2" customHeight="1">
      <c r="A13" s="4"/>
      <c r="B13" s="4"/>
      <c r="C13" s="4"/>
      <c r="D13" s="4"/>
      <c r="E13" s="25"/>
      <c r="F13" s="4"/>
      <c r="G13" s="4"/>
      <c r="P13" s="130"/>
      <c r="Q13" s="130"/>
      <c r="R13" s="130"/>
      <c r="S13" s="130"/>
    </row>
    <row r="14" spans="1:19" ht="13.2">
      <c r="A14" s="4"/>
      <c r="B14" s="4"/>
      <c r="C14" s="4"/>
      <c r="D14" s="4"/>
      <c r="E14" s="25"/>
      <c r="F14" s="4"/>
      <c r="G14" s="4"/>
      <c r="P14" s="130"/>
      <c r="Q14" s="130"/>
      <c r="R14" s="130"/>
      <c r="S14" s="130"/>
    </row>
    <row r="15" spans="1:19" ht="13.2">
      <c r="A15" s="4"/>
      <c r="B15" s="4"/>
      <c r="C15" s="4"/>
      <c r="D15" s="4"/>
      <c r="E15" s="25"/>
      <c r="F15" s="4"/>
      <c r="G15" s="4"/>
      <c r="P15" s="130"/>
      <c r="Q15" s="130"/>
      <c r="R15" s="130"/>
      <c r="S15" s="130"/>
    </row>
    <row r="16" spans="1:19" s="8" customFormat="1" ht="34.799999999999997">
      <c r="A16" s="63" t="s">
        <v>43</v>
      </c>
      <c r="B16" s="18" t="s">
        <v>44</v>
      </c>
      <c r="C16" s="18" t="s">
        <v>45</v>
      </c>
      <c r="D16" s="18" t="s">
        <v>46</v>
      </c>
      <c r="E16" s="18" t="s">
        <v>47</v>
      </c>
      <c r="F16" s="107" t="s">
        <v>48</v>
      </c>
      <c r="G16" s="107" t="s">
        <v>49</v>
      </c>
    </row>
    <row r="17" spans="1:19" ht="90" customHeight="1">
      <c r="A17" s="20">
        <v>1</v>
      </c>
      <c r="B17" s="9" t="s">
        <v>50</v>
      </c>
      <c r="C17" s="9" t="s">
        <v>51</v>
      </c>
      <c r="D17" s="39" t="s">
        <v>52</v>
      </c>
      <c r="E17" s="53" t="s">
        <v>53</v>
      </c>
      <c r="F17" s="80"/>
      <c r="G17" s="90"/>
    </row>
    <row r="18" spans="1:19" ht="255" customHeight="1">
      <c r="A18" s="20">
        <v>2</v>
      </c>
      <c r="B18" s="9" t="s">
        <v>50</v>
      </c>
      <c r="C18" s="9" t="s">
        <v>51</v>
      </c>
      <c r="D18" s="79" t="s">
        <v>177</v>
      </c>
      <c r="E18" s="104" t="s">
        <v>55</v>
      </c>
      <c r="F18" s="67"/>
      <c r="G18" s="90"/>
    </row>
    <row r="19" spans="1:19" ht="291" customHeight="1">
      <c r="A19" s="20">
        <v>3</v>
      </c>
      <c r="B19" s="9" t="s">
        <v>50</v>
      </c>
      <c r="C19" s="9" t="s">
        <v>56</v>
      </c>
      <c r="D19" s="33" t="s">
        <v>178</v>
      </c>
      <c r="E19" s="105" t="s">
        <v>58</v>
      </c>
      <c r="F19" s="67"/>
      <c r="G19" s="90"/>
    </row>
    <row r="20" spans="1:19" ht="99.75" customHeight="1">
      <c r="A20" s="20">
        <v>4</v>
      </c>
      <c r="B20" s="9" t="s">
        <v>50</v>
      </c>
      <c r="C20" s="9" t="s">
        <v>59</v>
      </c>
      <c r="D20" s="15" t="s">
        <v>60</v>
      </c>
      <c r="E20" s="105" t="s">
        <v>61</v>
      </c>
      <c r="F20" s="67"/>
      <c r="G20" s="90"/>
    </row>
    <row r="21" spans="1:19" ht="177" customHeight="1">
      <c r="A21" s="20">
        <v>5</v>
      </c>
      <c r="B21" s="9" t="s">
        <v>50</v>
      </c>
      <c r="C21" s="9" t="s">
        <v>62</v>
      </c>
      <c r="D21" s="33" t="s">
        <v>63</v>
      </c>
      <c r="E21" s="105" t="s">
        <v>64</v>
      </c>
      <c r="F21" s="67"/>
      <c r="G21" s="90"/>
    </row>
    <row r="22" spans="1:19" ht="79.5" customHeight="1">
      <c r="A22" s="20">
        <v>6</v>
      </c>
      <c r="B22" s="9" t="s">
        <v>50</v>
      </c>
      <c r="C22" s="9" t="s">
        <v>65</v>
      </c>
      <c r="D22" s="10" t="s">
        <v>66</v>
      </c>
      <c r="E22" s="53" t="s">
        <v>67</v>
      </c>
      <c r="F22" s="67"/>
      <c r="G22" s="90"/>
    </row>
    <row r="23" spans="1:19" ht="67.2" customHeight="1">
      <c r="A23" s="20">
        <v>7</v>
      </c>
      <c r="B23" s="9" t="s">
        <v>50</v>
      </c>
      <c r="C23" s="9" t="s">
        <v>68</v>
      </c>
      <c r="D23" s="10" t="s">
        <v>69</v>
      </c>
      <c r="E23" s="53" t="s">
        <v>70</v>
      </c>
      <c r="F23" s="67"/>
      <c r="G23" s="90"/>
    </row>
    <row r="24" spans="1:19" ht="135.75" customHeight="1">
      <c r="A24" s="20">
        <v>8</v>
      </c>
      <c r="B24" s="9" t="s">
        <v>50</v>
      </c>
      <c r="C24" s="38" t="s">
        <v>179</v>
      </c>
      <c r="D24" s="65" t="s">
        <v>180</v>
      </c>
      <c r="E24" s="53" t="s">
        <v>97</v>
      </c>
      <c r="F24" s="90"/>
      <c r="G24" s="91"/>
    </row>
    <row r="25" spans="1:19" ht="135.75" customHeight="1">
      <c r="A25" s="20">
        <v>9</v>
      </c>
      <c r="B25" s="9" t="s">
        <v>98</v>
      </c>
      <c r="C25" s="36" t="s">
        <v>99</v>
      </c>
      <c r="D25" s="22" t="s">
        <v>102</v>
      </c>
      <c r="E25" s="9" t="s">
        <v>103</v>
      </c>
      <c r="F25" s="22"/>
      <c r="G25" s="126"/>
      <c r="H25" s="127"/>
      <c r="I25" s="127"/>
      <c r="J25" s="127"/>
      <c r="K25" s="127"/>
      <c r="L25" s="127"/>
      <c r="M25" s="127"/>
      <c r="N25" s="127"/>
      <c r="O25" s="127"/>
      <c r="P25" s="127"/>
      <c r="Q25" s="127"/>
      <c r="R25" s="127"/>
      <c r="S25" s="127"/>
    </row>
    <row r="26" spans="1:19" ht="135.75" customHeight="1">
      <c r="A26" s="20">
        <v>10</v>
      </c>
      <c r="B26" s="9" t="s">
        <v>98</v>
      </c>
      <c r="C26" s="36" t="s">
        <v>104</v>
      </c>
      <c r="D26" s="22" t="s">
        <v>105</v>
      </c>
      <c r="E26" s="9" t="s">
        <v>106</v>
      </c>
      <c r="F26" s="22"/>
      <c r="G26" s="126"/>
      <c r="H26" s="127"/>
      <c r="I26" s="127"/>
      <c r="J26" s="127"/>
      <c r="K26" s="127"/>
      <c r="L26" s="127"/>
      <c r="M26" s="127"/>
      <c r="N26" s="127"/>
      <c r="O26" s="127"/>
      <c r="P26" s="127"/>
      <c r="Q26" s="127"/>
      <c r="R26" s="127"/>
      <c r="S26" s="127"/>
    </row>
    <row r="27" spans="1:19" ht="135.75" customHeight="1">
      <c r="A27" s="20">
        <v>11</v>
      </c>
      <c r="B27" s="9" t="s">
        <v>98</v>
      </c>
      <c r="C27" s="62" t="s">
        <v>107</v>
      </c>
      <c r="D27" s="22" t="s">
        <v>108</v>
      </c>
      <c r="E27" s="53" t="s">
        <v>109</v>
      </c>
      <c r="F27" s="90"/>
      <c r="G27" s="91"/>
    </row>
    <row r="28" spans="1:19" ht="135.75" customHeight="1">
      <c r="A28" s="20">
        <v>12</v>
      </c>
      <c r="B28" s="9" t="s">
        <v>98</v>
      </c>
      <c r="C28" s="62" t="s">
        <v>107</v>
      </c>
      <c r="D28" s="22" t="s">
        <v>111</v>
      </c>
      <c r="E28" s="53" t="s">
        <v>109</v>
      </c>
      <c r="F28" s="90"/>
      <c r="G28" s="91"/>
    </row>
    <row r="29" spans="1:19" ht="135.75" customHeight="1">
      <c r="A29" s="20">
        <v>13</v>
      </c>
      <c r="B29" s="9" t="s">
        <v>98</v>
      </c>
      <c r="C29" s="62" t="s">
        <v>107</v>
      </c>
      <c r="D29" s="61" t="s">
        <v>80</v>
      </c>
      <c r="E29" s="53" t="s">
        <v>113</v>
      </c>
      <c r="F29" s="90"/>
      <c r="G29" s="91"/>
    </row>
    <row r="30" spans="1:19" ht="139.5" customHeight="1">
      <c r="A30" s="20">
        <v>14</v>
      </c>
      <c r="B30" s="35" t="s">
        <v>181</v>
      </c>
      <c r="C30" s="36" t="s">
        <v>182</v>
      </c>
      <c r="D30" s="10" t="s">
        <v>183</v>
      </c>
      <c r="E30" s="106" t="s">
        <v>184</v>
      </c>
      <c r="F30" s="67"/>
      <c r="G30" s="90"/>
    </row>
    <row r="31" spans="1:19" ht="227.25" customHeight="1">
      <c r="A31" s="20">
        <v>15</v>
      </c>
      <c r="B31" s="9" t="s">
        <v>50</v>
      </c>
      <c r="C31" s="38" t="s">
        <v>179</v>
      </c>
      <c r="D31" s="65" t="s">
        <v>180</v>
      </c>
      <c r="E31" s="53" t="s">
        <v>97</v>
      </c>
      <c r="F31" s="90"/>
      <c r="G31" s="91"/>
    </row>
    <row r="32" spans="1:19" ht="139.5" customHeight="1">
      <c r="A32" s="20">
        <v>16</v>
      </c>
      <c r="B32" s="9" t="s">
        <v>98</v>
      </c>
      <c r="C32" s="36" t="s">
        <v>99</v>
      </c>
      <c r="D32" s="22" t="s">
        <v>102</v>
      </c>
      <c r="E32" s="9" t="s">
        <v>103</v>
      </c>
      <c r="F32" s="22"/>
      <c r="G32" s="126"/>
    </row>
    <row r="33" spans="1:7" ht="151.5" customHeight="1">
      <c r="A33" s="20">
        <v>17</v>
      </c>
      <c r="B33" s="35" t="s">
        <v>181</v>
      </c>
      <c r="C33" s="36" t="s">
        <v>182</v>
      </c>
      <c r="D33" s="10" t="s">
        <v>185</v>
      </c>
      <c r="E33" s="106" t="s">
        <v>186</v>
      </c>
      <c r="F33" s="67"/>
      <c r="G33" s="90"/>
    </row>
    <row r="34" spans="1:7" ht="125.25" customHeight="1">
      <c r="A34" s="20">
        <v>18</v>
      </c>
      <c r="B34" s="35" t="s">
        <v>148</v>
      </c>
      <c r="C34" s="36" t="s">
        <v>107</v>
      </c>
      <c r="D34" s="22" t="s">
        <v>187</v>
      </c>
      <c r="E34" s="104" t="s">
        <v>109</v>
      </c>
      <c r="F34" s="67"/>
      <c r="G34" s="90"/>
    </row>
    <row r="35" spans="1:7" ht="99.75" customHeight="1">
      <c r="A35" s="20">
        <v>19</v>
      </c>
      <c r="B35" s="35" t="s">
        <v>148</v>
      </c>
      <c r="C35" s="36" t="s">
        <v>107</v>
      </c>
      <c r="D35" s="22" t="s">
        <v>111</v>
      </c>
      <c r="E35" s="106" t="s">
        <v>109</v>
      </c>
      <c r="F35" s="67"/>
      <c r="G35" s="90"/>
    </row>
    <row r="36" spans="1:7" ht="185.25" customHeight="1">
      <c r="A36" s="20">
        <v>20</v>
      </c>
      <c r="B36" s="37" t="s">
        <v>148</v>
      </c>
      <c r="C36" s="36" t="s">
        <v>107</v>
      </c>
      <c r="D36" s="66" t="s">
        <v>80</v>
      </c>
      <c r="E36" s="106" t="s">
        <v>113</v>
      </c>
      <c r="F36" s="67"/>
      <c r="G36" s="90"/>
    </row>
    <row r="37" spans="1:7" ht="185.25" customHeight="1">
      <c r="A37" s="20">
        <v>21</v>
      </c>
      <c r="B37" s="82" t="s">
        <v>188</v>
      </c>
      <c r="C37" s="80" t="s">
        <v>107</v>
      </c>
      <c r="D37" s="81" t="s">
        <v>189</v>
      </c>
      <c r="E37" s="53" t="s">
        <v>190</v>
      </c>
      <c r="F37" s="67"/>
      <c r="G37" s="90"/>
    </row>
    <row r="38" spans="1:7" ht="185.25" customHeight="1">
      <c r="A38" s="20">
        <v>22</v>
      </c>
      <c r="B38" s="9" t="s">
        <v>98</v>
      </c>
      <c r="C38" s="83" t="s">
        <v>107</v>
      </c>
      <c r="D38" s="84" t="s">
        <v>108</v>
      </c>
      <c r="E38" s="53" t="s">
        <v>109</v>
      </c>
      <c r="F38" s="90"/>
      <c r="G38" s="91"/>
    </row>
    <row r="39" spans="1:7" ht="185.25" customHeight="1">
      <c r="A39" s="20">
        <v>23</v>
      </c>
      <c r="B39" s="9" t="s">
        <v>98</v>
      </c>
      <c r="C39" s="62" t="s">
        <v>107</v>
      </c>
      <c r="D39" s="22" t="s">
        <v>111</v>
      </c>
      <c r="E39" s="53" t="s">
        <v>109</v>
      </c>
      <c r="F39" s="90"/>
      <c r="G39" s="91"/>
    </row>
    <row r="40" spans="1:7" ht="185.25" customHeight="1">
      <c r="A40" s="20">
        <v>24</v>
      </c>
      <c r="B40" s="9" t="s">
        <v>98</v>
      </c>
      <c r="C40" s="62" t="s">
        <v>107</v>
      </c>
      <c r="D40" s="61" t="s">
        <v>80</v>
      </c>
      <c r="E40" s="53" t="s">
        <v>113</v>
      </c>
      <c r="F40" s="90"/>
      <c r="G40" s="91"/>
    </row>
    <row r="41" spans="1:7" ht="185.25" customHeight="1">
      <c r="A41" s="20">
        <v>25</v>
      </c>
      <c r="B41" s="9" t="s">
        <v>98</v>
      </c>
      <c r="C41" s="62" t="s">
        <v>107</v>
      </c>
      <c r="D41" s="10" t="s">
        <v>114</v>
      </c>
      <c r="E41" s="53"/>
      <c r="F41" s="67"/>
      <c r="G41" s="90"/>
    </row>
    <row r="42" spans="1:7" ht="78" customHeight="1">
      <c r="A42" s="20">
        <v>26</v>
      </c>
      <c r="B42" s="35" t="s">
        <v>50</v>
      </c>
      <c r="C42" s="36" t="s">
        <v>116</v>
      </c>
      <c r="D42" s="22" t="s">
        <v>117</v>
      </c>
      <c r="E42" s="53" t="s">
        <v>155</v>
      </c>
      <c r="F42" s="67"/>
      <c r="G42" s="90"/>
    </row>
    <row r="43" spans="1:7" ht="81" customHeight="1">
      <c r="A43" s="20">
        <v>27</v>
      </c>
      <c r="B43" s="35" t="s">
        <v>50</v>
      </c>
      <c r="C43" s="36" t="s">
        <v>116</v>
      </c>
      <c r="D43" s="22" t="s">
        <v>119</v>
      </c>
      <c r="E43" s="53" t="s">
        <v>120</v>
      </c>
      <c r="F43" s="67"/>
      <c r="G43" s="90"/>
    </row>
    <row r="44" spans="1:7" ht="98.25" customHeight="1">
      <c r="A44" s="20">
        <v>28</v>
      </c>
      <c r="B44" s="35" t="s">
        <v>50</v>
      </c>
      <c r="C44" s="36" t="s">
        <v>116</v>
      </c>
      <c r="D44" s="22" t="s">
        <v>191</v>
      </c>
      <c r="E44" s="53" t="s">
        <v>122</v>
      </c>
      <c r="F44" s="67"/>
      <c r="G44" s="90"/>
    </row>
    <row r="45" spans="1:7" ht="98.25" customHeight="1">
      <c r="A45" s="20">
        <v>29</v>
      </c>
      <c r="B45" s="35" t="s">
        <v>50</v>
      </c>
      <c r="C45" s="36" t="s">
        <v>124</v>
      </c>
      <c r="D45" s="22" t="s">
        <v>192</v>
      </c>
      <c r="E45" s="53" t="s">
        <v>126</v>
      </c>
      <c r="F45" s="67"/>
      <c r="G45" s="90"/>
    </row>
    <row r="46" spans="1:7" ht="97.5" customHeight="1">
      <c r="A46" s="20">
        <v>30</v>
      </c>
      <c r="B46" s="35" t="s">
        <v>50</v>
      </c>
      <c r="C46" s="36" t="s">
        <v>87</v>
      </c>
      <c r="D46" s="66" t="s">
        <v>127</v>
      </c>
      <c r="E46" s="53" t="s">
        <v>89</v>
      </c>
      <c r="F46" s="67"/>
      <c r="G46" s="90"/>
    </row>
    <row r="47" spans="1:7" ht="111.75" customHeight="1">
      <c r="A47" s="20">
        <v>31</v>
      </c>
      <c r="B47" s="37" t="s">
        <v>50</v>
      </c>
      <c r="C47" s="36" t="s">
        <v>87</v>
      </c>
      <c r="D47" s="66" t="s">
        <v>90</v>
      </c>
      <c r="E47" s="104" t="s">
        <v>91</v>
      </c>
      <c r="F47" s="67"/>
      <c r="G47" s="90"/>
    </row>
    <row r="48" spans="1: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30">
      <c r="E54" s="26"/>
      <c r="G54" s="1"/>
    </row>
    <row r="55" spans="5:7" ht="49.2" customHeight="1">
      <c r="E55" s="26"/>
      <c r="G55" s="1"/>
    </row>
    <row r="56" spans="5:7" ht="30">
      <c r="E56" s="26"/>
      <c r="G56" s="1"/>
    </row>
    <row r="57" spans="5:7" ht="30">
      <c r="E57" s="26"/>
      <c r="G57" s="1"/>
    </row>
    <row r="58" spans="5:7" ht="30">
      <c r="E58" s="26"/>
      <c r="G58" s="1"/>
    </row>
    <row r="59" spans="5:7" ht="30">
      <c r="E59" s="26"/>
      <c r="G59" s="1"/>
    </row>
    <row r="60" spans="5:7" ht="30">
      <c r="E60" s="26"/>
      <c r="G60" s="1"/>
    </row>
    <row r="61" spans="5:7" ht="30">
      <c r="E61" s="26"/>
      <c r="G61" s="1"/>
    </row>
    <row r="62" spans="5:7" ht="30">
      <c r="E62" s="26"/>
      <c r="G62" s="1"/>
    </row>
    <row r="63" spans="5:7" ht="42.6" customHeight="1">
      <c r="E63" s="26"/>
      <c r="G63" s="1"/>
    </row>
    <row r="64" spans="5:7" ht="30">
      <c r="E64" s="26"/>
      <c r="G64" s="1"/>
    </row>
    <row r="65" spans="5:7" ht="34.200000000000003" customHeight="1">
      <c r="E65" s="26"/>
      <c r="G65" s="1"/>
    </row>
    <row r="66" spans="5:7" ht="45.6" customHeight="1">
      <c r="E66" s="26"/>
      <c r="G66" s="1"/>
    </row>
    <row r="67" spans="5:7" ht="40.950000000000003" customHeight="1">
      <c r="E67" s="26"/>
      <c r="G67" s="1"/>
    </row>
    <row r="68" spans="5:7" ht="42.6" customHeight="1">
      <c r="E68" s="26"/>
      <c r="G68" s="1"/>
    </row>
    <row r="69" spans="5:7" ht="30">
      <c r="E69" s="26"/>
      <c r="G69" s="1"/>
    </row>
    <row r="70" spans="5:7" ht="46.95" customHeight="1">
      <c r="E70" s="26"/>
      <c r="G70" s="1"/>
    </row>
    <row r="71" spans="5:7" ht="43.95" customHeight="1">
      <c r="E71" s="26"/>
      <c r="G71" s="1"/>
    </row>
    <row r="72" spans="5:7" ht="52.95" customHeight="1">
      <c r="E72" s="26"/>
      <c r="G72" s="1"/>
    </row>
    <row r="73" spans="5:7" ht="30">
      <c r="E73" s="26"/>
      <c r="G73" s="1"/>
    </row>
    <row r="74" spans="5:7" ht="30">
      <c r="E74" s="26"/>
      <c r="G74" s="1"/>
    </row>
    <row r="75" spans="5:7" ht="30">
      <c r="E75" s="26"/>
      <c r="G75" s="1"/>
    </row>
    <row r="76" spans="5:7" ht="51" customHeight="1">
      <c r="E76" s="26"/>
      <c r="G76" s="1"/>
    </row>
    <row r="77" spans="5:7" ht="37.950000000000003" customHeight="1">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30">
      <c r="E908" s="26"/>
      <c r="G908" s="1"/>
    </row>
    <row r="909" spans="5:7" ht="30">
      <c r="E909" s="26"/>
      <c r="G909" s="1"/>
    </row>
    <row r="910" spans="5:7" ht="30">
      <c r="E910" s="26"/>
      <c r="G910" s="1"/>
    </row>
    <row r="911" spans="5:7" ht="30">
      <c r="E911" s="26"/>
      <c r="G911" s="1"/>
    </row>
    <row r="912" spans="5:7" ht="30">
      <c r="E912" s="26"/>
      <c r="G912" s="1"/>
    </row>
    <row r="913" spans="5:7" ht="30">
      <c r="E913" s="26"/>
      <c r="G913" s="1"/>
    </row>
    <row r="914" spans="5:7" ht="30">
      <c r="E914" s="26"/>
      <c r="G914" s="1"/>
    </row>
    <row r="915" spans="5:7" ht="30">
      <c r="E915" s="26"/>
      <c r="G915" s="1"/>
    </row>
    <row r="916" spans="5:7" ht="30">
      <c r="E916" s="26"/>
      <c r="G916" s="1"/>
    </row>
    <row r="917" spans="5:7" ht="30">
      <c r="E917" s="26"/>
      <c r="G917" s="1"/>
    </row>
    <row r="918" spans="5:7" ht="30">
      <c r="E918" s="26"/>
      <c r="G918" s="1"/>
    </row>
    <row r="919" spans="5:7" ht="13.2"/>
    <row r="920" spans="5:7" ht="13.2"/>
    <row r="921" spans="5:7" ht="13.2"/>
    <row r="922" spans="5:7" ht="13.2"/>
    <row r="923" spans="5:7" ht="13.2"/>
    <row r="924" spans="5:7" ht="13.2"/>
    <row r="925" spans="5:7" ht="13.2"/>
    <row r="926" spans="5:7" ht="13.2"/>
  </sheetData>
  <mergeCells count="1">
    <mergeCell ref="A1:G4"/>
  </mergeCells>
  <conditionalFormatting sqref="E18 E33 E48:E918">
    <cfRule type="containsText" dxfId="17" priority="7" operator="containsText" text="نجح">
      <formula>NOT(ISERROR(SEARCH(("نجح"),(E18))))</formula>
    </cfRule>
    <cfRule type="containsText" dxfId="16" priority="8" operator="containsText" text="فشل">
      <formula>NOT(ISERROR(SEARCH(("فشل"),(E18))))</formula>
    </cfRule>
  </conditionalFormatting>
  <conditionalFormatting sqref="E22">
    <cfRule type="containsText" dxfId="15" priority="5" operator="containsText" text="نجح">
      <formula>NOT(ISERROR(SEARCH(("نجح"),(E22))))</formula>
    </cfRule>
    <cfRule type="containsText" dxfId="14" priority="6" operator="containsText" text="فشل">
      <formula>NOT(ISERROR(SEARCH(("فشل"),(E22))))</formula>
    </cfRule>
  </conditionalFormatting>
  <conditionalFormatting sqref="E43:E45">
    <cfRule type="containsText" dxfId="13" priority="1" operator="containsText" text="نجح">
      <formula>NOT(ISERROR(SEARCH(("نجح"),(E43))))</formula>
    </cfRule>
    <cfRule type="containsText" dxfId="12" priority="2" operator="containsText" text="فشل">
      <formula>NOT(ISERROR(SEARCH(("فشل"),(E43))))</formula>
    </cfRule>
  </conditionalFormatting>
  <dataValidations count="2">
    <dataValidation type="list" allowBlank="1" showInputMessage="1" showErrorMessage="1" sqref="G17:G23 G42:G47 G25:G26 F24:F41 G30 G32:G37" xr:uid="{38737DAF-95F8-4FD7-B815-9853E606C506}">
      <formula1>$F$9:$F$10</formula1>
    </dataValidation>
    <dataValidation showDropDown="1" showInputMessage="1" showErrorMessage="1" sqref="C6:D6" xr:uid="{BFAF0BFD-688E-4BD2-B278-F62B646BF6DB}"/>
  </dataValidations>
  <pageMargins left="0.7" right="0.7" top="0.75" bottom="0.75" header="0.3" footer="0.3"/>
  <pageSetup paperSize="9" orientation="portrait"/>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1DFD-3290-4557-A214-1936C0316CCC}">
  <sheetPr>
    <outlinePr summaryBelow="0" summaryRight="0"/>
  </sheetPr>
  <dimension ref="A1:S927"/>
  <sheetViews>
    <sheetView rightToLeft="1" topLeftCell="A10" zoomScale="58" zoomScaleNormal="100" workbookViewId="0">
      <selection activeCell="D19" sqref="D19"/>
    </sheetView>
  </sheetViews>
  <sheetFormatPr defaultColWidth="12.6640625" defaultRowHeight="15.75" customHeight="1"/>
  <cols>
    <col min="1" max="1" width="22.33203125" style="2" customWidth="1"/>
    <col min="2" max="2" width="72.5546875" bestFit="1" customWidth="1"/>
    <col min="3" max="3" width="72.5546875" customWidth="1"/>
    <col min="4" max="4" width="114.109375" customWidth="1"/>
    <col min="5" max="5" width="60.5546875" style="27" bestFit="1" customWidth="1"/>
    <col min="6" max="6" width="60.44140625" bestFit="1" customWidth="1"/>
    <col min="7" max="7" width="54" customWidth="1"/>
    <col min="8" max="15" width="9.109375"/>
    <col min="16" max="16" width="14" customWidth="1"/>
    <col min="17" max="17" width="19.88671875" customWidth="1"/>
  </cols>
  <sheetData>
    <row r="1" spans="1:19" ht="15.75" customHeight="1">
      <c r="A1" s="148" t="s">
        <v>0</v>
      </c>
      <c r="B1" s="148"/>
      <c r="C1" s="148"/>
      <c r="D1" s="148"/>
      <c r="E1" s="148"/>
      <c r="F1" s="148"/>
      <c r="G1" s="148"/>
    </row>
    <row r="2" spans="1:19" ht="15.75" customHeight="1">
      <c r="A2" s="148"/>
      <c r="B2" s="148"/>
      <c r="C2" s="148"/>
      <c r="D2" s="148"/>
      <c r="E2" s="148"/>
      <c r="F2" s="148"/>
      <c r="G2" s="148"/>
    </row>
    <row r="3" spans="1:19" ht="15.75" customHeight="1">
      <c r="A3" s="148"/>
      <c r="B3" s="148"/>
      <c r="C3" s="148"/>
      <c r="D3" s="148"/>
      <c r="E3" s="148"/>
      <c r="F3" s="148"/>
      <c r="G3" s="148"/>
    </row>
    <row r="4" spans="1:19" ht="39.6" customHeight="1">
      <c r="A4" s="149"/>
      <c r="B4" s="149"/>
      <c r="C4" s="149"/>
      <c r="D4" s="149"/>
      <c r="E4" s="149"/>
      <c r="F4" s="149"/>
      <c r="G4" s="149"/>
    </row>
    <row r="5" spans="1:19" ht="1.2" customHeight="1">
      <c r="A5" s="3"/>
      <c r="B5" s="4"/>
      <c r="C5" s="4"/>
      <c r="D5" s="4"/>
      <c r="E5" s="25"/>
      <c r="F5" s="4"/>
      <c r="G5" s="4"/>
    </row>
    <row r="6" spans="1:19" ht="22.8">
      <c r="A6" s="3"/>
      <c r="B6" s="4"/>
      <c r="C6" s="4"/>
      <c r="D6" s="5"/>
      <c r="E6" s="25"/>
      <c r="F6" s="4"/>
      <c r="G6" s="4"/>
    </row>
    <row r="7" spans="1:19" ht="22.8">
      <c r="A7" s="3"/>
      <c r="B7" s="4"/>
      <c r="C7" s="4"/>
      <c r="D7" s="5"/>
      <c r="E7" s="25"/>
      <c r="F7" s="4"/>
      <c r="G7" s="4"/>
      <c r="O7" s="7"/>
      <c r="P7" s="7"/>
      <c r="Q7" s="7" t="s">
        <v>1</v>
      </c>
      <c r="R7" s="7">
        <f>COUNTIF(A:G,"ريوف الحربي")</f>
        <v>0</v>
      </c>
      <c r="S7" s="6"/>
    </row>
    <row r="8" spans="1:19" ht="22.8">
      <c r="A8" s="32" t="s">
        <v>2</v>
      </c>
      <c r="B8" s="29" t="s">
        <v>38</v>
      </c>
      <c r="C8" s="5"/>
      <c r="D8" s="5"/>
      <c r="E8" s="25"/>
      <c r="F8" s="4"/>
      <c r="G8" s="4"/>
      <c r="O8" s="7"/>
      <c r="P8" s="7"/>
      <c r="Q8" s="7" t="s">
        <v>4</v>
      </c>
      <c r="R8" s="7">
        <f>COUNTIF(A:G,"ريماز المجنحي")</f>
        <v>0</v>
      </c>
      <c r="S8" s="6"/>
    </row>
    <row r="9" spans="1:19" ht="66.599999999999994">
      <c r="A9" s="32" t="s">
        <v>39</v>
      </c>
      <c r="B9" s="29" t="s">
        <v>193</v>
      </c>
      <c r="C9" s="5"/>
      <c r="D9" s="5"/>
      <c r="E9" s="25"/>
      <c r="F9" s="31" t="s">
        <v>41</v>
      </c>
      <c r="G9" s="4"/>
      <c r="O9" s="7"/>
      <c r="P9" s="7"/>
      <c r="Q9" s="7" t="s">
        <v>7</v>
      </c>
      <c r="R9" s="7">
        <f>COUNTIF(A:G,"فريق الجودة")</f>
        <v>0</v>
      </c>
      <c r="S9" s="6"/>
    </row>
    <row r="10" spans="1:19" ht="44.4">
      <c r="A10" s="32" t="s">
        <v>194</v>
      </c>
      <c r="B10" s="30" t="s">
        <v>195</v>
      </c>
      <c r="C10" s="23"/>
      <c r="D10" s="4"/>
      <c r="E10" s="25"/>
      <c r="F10" s="31" t="s">
        <v>8</v>
      </c>
      <c r="G10" s="4"/>
      <c r="O10" s="7" t="s">
        <v>41</v>
      </c>
      <c r="P10" s="7">
        <f>COUNTIF(A:G,"نجح")</f>
        <v>1</v>
      </c>
      <c r="Q10" s="7" t="s">
        <v>42</v>
      </c>
      <c r="R10" s="7">
        <f>COUNTIF(A:G,"سلطان نعمان")</f>
        <v>0</v>
      </c>
      <c r="S10" s="6"/>
    </row>
    <row r="11" spans="1:19" ht="78" customHeight="1">
      <c r="A11" s="4"/>
      <c r="B11" s="4"/>
      <c r="C11" s="5"/>
      <c r="D11" s="4"/>
      <c r="E11" s="25"/>
      <c r="F11" s="4"/>
      <c r="G11" s="4"/>
      <c r="O11" s="7" t="s">
        <v>8</v>
      </c>
      <c r="P11" s="7">
        <f>COUNTIF(A:G,"فشل")</f>
        <v>1</v>
      </c>
      <c r="Q11" s="7"/>
      <c r="R11" s="7"/>
      <c r="S11" s="6"/>
    </row>
    <row r="12" spans="1:19" ht="25.2" customHeight="1">
      <c r="A12" s="4"/>
      <c r="B12" s="4"/>
      <c r="C12" s="4"/>
      <c r="D12" s="4"/>
      <c r="E12" s="25"/>
      <c r="F12" s="4"/>
      <c r="G12" s="4"/>
      <c r="P12" s="6"/>
      <c r="Q12" s="6"/>
      <c r="R12" s="6"/>
      <c r="S12" s="6"/>
    </row>
    <row r="13" spans="1:19" ht="13.2">
      <c r="A13" s="4"/>
      <c r="B13" s="4"/>
      <c r="C13" s="4"/>
      <c r="D13" s="4"/>
      <c r="E13" s="25"/>
      <c r="F13" s="4"/>
      <c r="G13" s="4"/>
      <c r="P13" s="6"/>
      <c r="Q13" s="6"/>
      <c r="R13" s="6"/>
      <c r="S13" s="6"/>
    </row>
    <row r="14" spans="1:19" ht="13.2">
      <c r="A14" s="4"/>
      <c r="B14" s="4"/>
      <c r="C14" s="4"/>
      <c r="D14" s="4"/>
      <c r="E14" s="25"/>
      <c r="F14" s="4"/>
      <c r="G14" s="4"/>
      <c r="P14" s="6"/>
      <c r="Q14" s="6"/>
      <c r="R14" s="6"/>
      <c r="S14" s="6"/>
    </row>
    <row r="15" spans="1:19" s="8" customFormat="1" ht="34.799999999999997">
      <c r="A15" s="19" t="s">
        <v>43</v>
      </c>
      <c r="B15" s="18" t="s">
        <v>44</v>
      </c>
      <c r="C15" s="18" t="s">
        <v>45</v>
      </c>
      <c r="D15" s="18" t="s">
        <v>46</v>
      </c>
      <c r="E15" s="18" t="s">
        <v>47</v>
      </c>
      <c r="F15" s="18" t="s">
        <v>48</v>
      </c>
      <c r="G15" s="18" t="s">
        <v>49</v>
      </c>
    </row>
    <row r="16" spans="1:19" ht="90" customHeight="1">
      <c r="A16" s="20">
        <v>1</v>
      </c>
      <c r="B16" s="9" t="s">
        <v>181</v>
      </c>
      <c r="C16" s="9" t="s">
        <v>196</v>
      </c>
      <c r="D16" s="11" t="s">
        <v>197</v>
      </c>
      <c r="E16" s="9" t="s">
        <v>198</v>
      </c>
      <c r="F16" s="9"/>
      <c r="G16" s="12"/>
    </row>
    <row r="17" spans="1:7" ht="90" customHeight="1">
      <c r="A17" s="20">
        <v>2</v>
      </c>
      <c r="B17" s="9" t="s">
        <v>181</v>
      </c>
      <c r="C17" s="9" t="s">
        <v>196</v>
      </c>
      <c r="D17" s="45" t="s">
        <v>199</v>
      </c>
      <c r="E17" s="24" t="s">
        <v>184</v>
      </c>
      <c r="F17" s="9"/>
      <c r="G17" s="12"/>
    </row>
    <row r="18" spans="1:7" ht="251.25" customHeight="1">
      <c r="A18" s="20">
        <v>3</v>
      </c>
      <c r="B18" s="9" t="s">
        <v>181</v>
      </c>
      <c r="C18" s="9" t="s">
        <v>196</v>
      </c>
      <c r="D18" s="45" t="s">
        <v>200</v>
      </c>
      <c r="E18" s="24" t="s">
        <v>186</v>
      </c>
      <c r="F18" s="10"/>
      <c r="G18" s="12"/>
    </row>
    <row r="19" spans="1:7" ht="155.25" customHeight="1">
      <c r="A19" s="20">
        <v>4</v>
      </c>
      <c r="B19" s="9" t="s">
        <v>201</v>
      </c>
      <c r="C19" s="9" t="s">
        <v>196</v>
      </c>
      <c r="D19" s="10" t="s">
        <v>202</v>
      </c>
      <c r="E19" s="24" t="s">
        <v>203</v>
      </c>
      <c r="F19" s="10"/>
      <c r="G19" s="14"/>
    </row>
    <row r="20" spans="1:7" ht="40.200000000000003" customHeight="1">
      <c r="E20" s="26"/>
      <c r="G20" s="1"/>
    </row>
    <row r="21" spans="1:7" ht="49.2" customHeight="1">
      <c r="E21" s="26"/>
      <c r="G21" s="1"/>
    </row>
    <row r="22" spans="1:7" ht="46.95" customHeight="1">
      <c r="E22" s="26"/>
      <c r="G22" s="1"/>
    </row>
    <row r="23" spans="1:7" ht="148.5" customHeight="1">
      <c r="E23" s="26"/>
      <c r="G23" s="1"/>
    </row>
    <row r="24" spans="1:7" ht="69.599999999999994" customHeight="1">
      <c r="E24" s="26"/>
      <c r="G24" s="1"/>
    </row>
    <row r="25" spans="1:7" ht="83.4" customHeight="1">
      <c r="E25" s="26"/>
      <c r="G25" s="1"/>
    </row>
    <row r="26" spans="1:7" ht="83.4" customHeight="1">
      <c r="E26" s="26"/>
      <c r="G26" s="1"/>
    </row>
    <row r="27" spans="1:7" ht="84.6" customHeight="1">
      <c r="E27" s="26"/>
      <c r="G27" s="1"/>
    </row>
    <row r="28" spans="1:7" ht="70.2" customHeight="1">
      <c r="E28" s="26"/>
      <c r="G28" s="1"/>
    </row>
    <row r="29" spans="1:7" ht="70.2" customHeight="1">
      <c r="E29" s="26"/>
      <c r="G29" s="1"/>
    </row>
    <row r="30" spans="1:7" ht="54" customHeight="1">
      <c r="E30" s="26"/>
      <c r="G30" s="1"/>
    </row>
    <row r="31" spans="1:7" ht="56.4" customHeight="1">
      <c r="E31" s="26"/>
      <c r="G31" s="1"/>
    </row>
    <row r="32" spans="1:7" ht="56.4" customHeight="1">
      <c r="E32" s="26"/>
      <c r="G32" s="1"/>
    </row>
    <row r="33" spans="5:7" ht="52.95" customHeight="1">
      <c r="E33" s="26"/>
      <c r="G33" s="1"/>
    </row>
    <row r="34" spans="5:7" ht="45" customHeight="1">
      <c r="E34" s="26"/>
      <c r="G34" s="1"/>
    </row>
    <row r="35" spans="5:7" ht="54" customHeight="1">
      <c r="E35" s="26"/>
      <c r="G35" s="1"/>
    </row>
    <row r="36" spans="5:7" ht="30">
      <c r="E36" s="26"/>
      <c r="G36" s="1"/>
    </row>
    <row r="37" spans="5:7" ht="30">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36.6" customHeight="1">
      <c r="E44" s="26"/>
      <c r="G44" s="1"/>
    </row>
    <row r="45" spans="5:7" ht="45" customHeight="1">
      <c r="E45" s="26"/>
      <c r="G45" s="1"/>
    </row>
    <row r="46" spans="5:7" ht="30">
      <c r="E46" s="26"/>
      <c r="G46" s="1"/>
    </row>
    <row r="47" spans="5:7" ht="52.95" customHeight="1">
      <c r="E47" s="26"/>
      <c r="G47" s="1"/>
    </row>
    <row r="48" spans="5: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30">
      <c r="E54" s="26"/>
      <c r="G54" s="1"/>
    </row>
    <row r="55" spans="5:7" ht="30">
      <c r="E55" s="26"/>
      <c r="G55" s="1"/>
    </row>
    <row r="56" spans="5:7" ht="49.2" customHeight="1">
      <c r="E56" s="26"/>
      <c r="G56" s="1"/>
    </row>
    <row r="57" spans="5:7" ht="30">
      <c r="E57" s="26"/>
      <c r="G57" s="1"/>
    </row>
    <row r="58" spans="5:7" ht="30">
      <c r="E58" s="26"/>
      <c r="G58" s="1"/>
    </row>
    <row r="59" spans="5:7" ht="30">
      <c r="E59" s="26"/>
      <c r="G59" s="1"/>
    </row>
    <row r="60" spans="5:7" ht="30">
      <c r="E60" s="26"/>
      <c r="G60" s="1"/>
    </row>
    <row r="61" spans="5:7" ht="30">
      <c r="E61" s="26"/>
      <c r="G61" s="1"/>
    </row>
    <row r="62" spans="5:7" ht="30">
      <c r="E62" s="26"/>
      <c r="G62" s="1"/>
    </row>
    <row r="63" spans="5:7" ht="30">
      <c r="E63" s="26"/>
      <c r="G63" s="1"/>
    </row>
    <row r="64" spans="5:7" ht="42.6" customHeight="1">
      <c r="E64" s="26"/>
      <c r="G64" s="1"/>
    </row>
    <row r="65" spans="5:7" ht="30">
      <c r="E65" s="26"/>
      <c r="G65" s="1"/>
    </row>
    <row r="66" spans="5:7" ht="34.200000000000003" customHeight="1">
      <c r="E66" s="26"/>
      <c r="G66" s="1"/>
    </row>
    <row r="67" spans="5:7" ht="45.6" customHeight="1">
      <c r="E67" s="26"/>
      <c r="G67" s="1"/>
    </row>
    <row r="68" spans="5:7" ht="40.950000000000003" customHeight="1">
      <c r="E68" s="26"/>
      <c r="G68" s="1"/>
    </row>
    <row r="69" spans="5:7" ht="42.6" customHeight="1">
      <c r="E69" s="26"/>
      <c r="G69" s="1"/>
    </row>
    <row r="70" spans="5:7" ht="30">
      <c r="E70" s="26"/>
      <c r="G70" s="1"/>
    </row>
    <row r="71" spans="5:7" ht="46.95" customHeight="1">
      <c r="E71" s="26"/>
      <c r="G71" s="1"/>
    </row>
    <row r="72" spans="5:7" ht="43.95" customHeight="1">
      <c r="E72" s="26"/>
      <c r="G72" s="1"/>
    </row>
    <row r="73" spans="5:7" ht="52.95" customHeight="1">
      <c r="E73" s="26"/>
      <c r="G73" s="1"/>
    </row>
    <row r="74" spans="5:7" ht="30">
      <c r="E74" s="26"/>
      <c r="G74" s="1"/>
    </row>
    <row r="75" spans="5:7" ht="30">
      <c r="E75" s="26"/>
      <c r="G75" s="1"/>
    </row>
    <row r="76" spans="5:7" ht="30">
      <c r="E76" s="26"/>
      <c r="G76" s="1"/>
    </row>
    <row r="77" spans="5:7" ht="51" customHeight="1">
      <c r="E77" s="26"/>
      <c r="G77" s="1"/>
    </row>
    <row r="78" spans="5:7" ht="37.950000000000003" customHeight="1">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13.2"/>
    <row r="902" spans="5:7" ht="13.2"/>
    <row r="903" spans="5:7" ht="13.2"/>
    <row r="904" spans="5:7" ht="13.2"/>
    <row r="905" spans="5:7" ht="13.2"/>
    <row r="906" spans="5:7" ht="13.2"/>
    <row r="907" spans="5:7" ht="13.2"/>
    <row r="908" spans="5:7" ht="13.2"/>
    <row r="909" spans="5:7" ht="13.2"/>
    <row r="910" spans="5:7" ht="13.2"/>
    <row r="911" spans="5:7" ht="13.2"/>
    <row r="912" spans="5:7" ht="13.2"/>
    <row r="913" ht="13.2"/>
    <row r="914" ht="13.2"/>
    <row r="915" ht="13.2"/>
    <row r="916" ht="13.2"/>
    <row r="917" ht="13.2"/>
    <row r="918" ht="13.2"/>
    <row r="919" ht="13.2"/>
    <row r="920" ht="13.2"/>
    <row r="921" ht="13.2"/>
    <row r="922" ht="13.2"/>
    <row r="923" ht="13.2"/>
    <row r="924" ht="13.2"/>
    <row r="925" ht="13.2"/>
    <row r="926" ht="13.2"/>
    <row r="927" ht="13.2"/>
  </sheetData>
  <mergeCells count="1">
    <mergeCell ref="A1:G4"/>
  </mergeCells>
  <conditionalFormatting sqref="E18:E900">
    <cfRule type="containsText" dxfId="11" priority="3" operator="containsText" text="نجح">
      <formula>NOT(ISERROR(SEARCH(("نجح"),(E18))))</formula>
    </cfRule>
    <cfRule type="containsText" dxfId="10" priority="4" operator="containsText" text="فشل">
      <formula>NOT(ISERROR(SEARCH(("فشل"),(E18))))</formula>
    </cfRule>
  </conditionalFormatting>
  <dataValidations count="2">
    <dataValidation showDropDown="1" showInputMessage="1" showErrorMessage="1" sqref="D6 B8:C8" xr:uid="{9668BBE6-F130-44FE-8702-E0228E97A60F}"/>
    <dataValidation type="list" allowBlank="1" showInputMessage="1" showErrorMessage="1" sqref="G16:G19" xr:uid="{93E23BCF-00BE-4E80-9109-ECBBB001B2D4}">
      <formula1>$F$9:$F$10</formula1>
    </dataValidation>
  </dataValidations>
  <pageMargins left="0.7" right="0.7" top="0.75" bottom="0.75" header="0.3" footer="0.3"/>
  <pageSetup paperSize="9" orientation="portrait"/>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825D-43A7-4CA4-A60E-056CC3A76ACF}">
  <sheetPr>
    <outlinePr summaryBelow="0" summaryRight="0"/>
  </sheetPr>
  <dimension ref="A1:S907"/>
  <sheetViews>
    <sheetView rightToLeft="1" zoomScale="33" zoomScaleNormal="100" workbookViewId="0">
      <selection activeCell="D27" sqref="D27"/>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15.75" customHeight="1">
      <c r="A1" s="148"/>
      <c r="B1" s="148"/>
      <c r="C1" s="148"/>
      <c r="D1" s="148"/>
      <c r="E1" s="148"/>
      <c r="F1" s="148"/>
      <c r="G1" s="148"/>
    </row>
    <row r="2" spans="1:19" ht="15.75" customHeight="1">
      <c r="A2" s="148"/>
      <c r="B2" s="148"/>
      <c r="C2" s="148"/>
      <c r="D2" s="148"/>
      <c r="E2" s="148"/>
      <c r="F2" s="148"/>
      <c r="G2" s="148"/>
    </row>
    <row r="3" spans="1:19" ht="15.75" customHeight="1">
      <c r="A3" s="148"/>
      <c r="B3" s="148"/>
      <c r="C3" s="148"/>
      <c r="D3" s="148"/>
      <c r="E3" s="148"/>
      <c r="F3" s="148"/>
      <c r="G3" s="148"/>
    </row>
    <row r="4" spans="1:19" ht="39.6" customHeight="1">
      <c r="A4" s="149"/>
      <c r="B4" s="149"/>
      <c r="C4" s="149"/>
      <c r="D4" s="149"/>
      <c r="E4" s="149"/>
      <c r="F4" s="149"/>
      <c r="G4" s="149"/>
    </row>
    <row r="5" spans="1:19" ht="1.2" customHeight="1">
      <c r="A5" s="4"/>
      <c r="B5" s="4"/>
      <c r="C5" s="4"/>
      <c r="D5" s="4"/>
      <c r="E5" s="25"/>
      <c r="F5" s="4"/>
      <c r="G5" s="4"/>
    </row>
    <row r="6" spans="1:19" ht="22.8">
      <c r="A6" s="4"/>
      <c r="B6" s="4"/>
      <c r="C6" s="5"/>
      <c r="D6" s="5"/>
      <c r="E6" s="25"/>
      <c r="F6" s="4"/>
      <c r="G6" s="4"/>
    </row>
    <row r="7" spans="1:19" ht="22.8">
      <c r="A7" s="4"/>
      <c r="B7" s="4"/>
      <c r="C7" s="5"/>
      <c r="D7" s="5"/>
      <c r="E7" s="25"/>
      <c r="F7" s="4"/>
      <c r="G7" s="4"/>
      <c r="O7" s="130"/>
      <c r="P7" s="130"/>
      <c r="Q7" s="130"/>
      <c r="R7" s="130"/>
      <c r="S7" s="130"/>
    </row>
    <row r="8" spans="1:19" ht="22.8">
      <c r="A8" s="58" t="s">
        <v>2</v>
      </c>
      <c r="B8" s="59" t="s">
        <v>38</v>
      </c>
      <c r="C8" s="5"/>
      <c r="D8" s="5"/>
      <c r="E8" s="25"/>
      <c r="F8" s="4"/>
      <c r="G8" s="4"/>
      <c r="O8" s="130"/>
      <c r="P8" s="130"/>
      <c r="Q8" s="130"/>
      <c r="R8" s="130"/>
      <c r="S8" s="130"/>
    </row>
    <row r="9" spans="1:19" ht="51.75" customHeight="1">
      <c r="A9" s="32" t="s">
        <v>39</v>
      </c>
      <c r="B9" s="57" t="s">
        <v>204</v>
      </c>
      <c r="C9" s="5"/>
      <c r="D9" s="5"/>
      <c r="E9" s="25"/>
      <c r="F9" s="31" t="s">
        <v>41</v>
      </c>
      <c r="G9" s="4"/>
      <c r="O9" s="130"/>
      <c r="P9" s="130"/>
      <c r="Q9" s="130"/>
      <c r="R9" s="130"/>
      <c r="S9" s="130"/>
    </row>
    <row r="10" spans="1:19" ht="39" customHeight="1">
      <c r="A10" s="4"/>
      <c r="B10" s="4"/>
      <c r="C10" s="4"/>
      <c r="D10" s="4"/>
      <c r="E10" s="25"/>
      <c r="F10" s="31" t="s">
        <v>8</v>
      </c>
      <c r="G10" s="4"/>
      <c r="O10" s="7" t="s">
        <v>41</v>
      </c>
      <c r="P10" s="7">
        <f>COUNTIF(G:H,"نجح")</f>
        <v>0</v>
      </c>
      <c r="Q10" s="130"/>
      <c r="R10" s="130"/>
      <c r="S10" s="130"/>
    </row>
    <row r="11" spans="1:19" ht="48" customHeight="1">
      <c r="A11" s="4"/>
      <c r="B11" s="4"/>
      <c r="C11" s="4"/>
      <c r="D11" s="4"/>
      <c r="E11" s="25"/>
      <c r="F11" s="31"/>
      <c r="G11" s="4"/>
      <c r="O11" s="7"/>
      <c r="P11" s="7"/>
      <c r="Q11" s="130"/>
      <c r="R11" s="130"/>
      <c r="S11" s="130"/>
    </row>
    <row r="12" spans="1:19" ht="68.25" customHeight="1">
      <c r="A12" s="4"/>
      <c r="B12" s="4"/>
      <c r="C12" s="4"/>
      <c r="D12" s="4"/>
      <c r="E12" s="25"/>
      <c r="F12" s="4"/>
      <c r="G12" s="4"/>
      <c r="O12" s="7" t="s">
        <v>8</v>
      </c>
      <c r="P12" s="7">
        <f>COUNTIF(G:H,"فشل")</f>
        <v>0</v>
      </c>
      <c r="Q12" s="130"/>
      <c r="R12" s="130"/>
      <c r="S12" s="130"/>
    </row>
    <row r="13" spans="1:19" ht="25.2" customHeight="1">
      <c r="A13" s="4"/>
      <c r="B13" s="4"/>
      <c r="C13" s="4"/>
      <c r="D13" s="4"/>
      <c r="E13" s="25"/>
      <c r="F13" s="4"/>
      <c r="G13" s="4"/>
      <c r="P13" s="130"/>
      <c r="Q13" s="130"/>
      <c r="R13" s="130"/>
      <c r="S13" s="130"/>
    </row>
    <row r="14" spans="1:19" ht="13.2">
      <c r="A14" s="4"/>
      <c r="B14" s="4"/>
      <c r="C14" s="4"/>
      <c r="D14" s="4"/>
      <c r="E14" s="25"/>
      <c r="F14" s="4"/>
      <c r="G14" s="4"/>
      <c r="P14" s="130"/>
      <c r="Q14" s="130"/>
      <c r="R14" s="130"/>
      <c r="S14" s="130"/>
    </row>
    <row r="15" spans="1:19" ht="13.2">
      <c r="A15" s="4"/>
      <c r="B15" s="4"/>
      <c r="C15" s="4"/>
      <c r="D15" s="4"/>
      <c r="E15" s="25"/>
      <c r="F15" s="4"/>
      <c r="G15" s="4"/>
      <c r="P15" s="130"/>
      <c r="Q15" s="130"/>
      <c r="R15" s="130"/>
      <c r="S15" s="130"/>
    </row>
    <row r="16" spans="1:19" s="8" customFormat="1" ht="34.799999999999997">
      <c r="A16" s="63" t="s">
        <v>43</v>
      </c>
      <c r="B16" s="18" t="s">
        <v>44</v>
      </c>
      <c r="C16" s="18" t="s">
        <v>45</v>
      </c>
      <c r="D16" s="18" t="s">
        <v>46</v>
      </c>
      <c r="E16" s="18" t="s">
        <v>47</v>
      </c>
      <c r="F16" s="18" t="s">
        <v>48</v>
      </c>
      <c r="G16" s="18" t="s">
        <v>49</v>
      </c>
    </row>
    <row r="17" spans="1:19" ht="90" customHeight="1">
      <c r="A17" s="20">
        <v>1</v>
      </c>
      <c r="B17" s="9" t="s">
        <v>50</v>
      </c>
      <c r="C17" s="9" t="s">
        <v>51</v>
      </c>
      <c r="D17" s="39" t="s">
        <v>52</v>
      </c>
      <c r="E17" s="9" t="s">
        <v>53</v>
      </c>
      <c r="F17" s="9"/>
      <c r="G17" s="12"/>
    </row>
    <row r="18" spans="1:19" ht="255" customHeight="1">
      <c r="A18" s="20">
        <v>2</v>
      </c>
      <c r="B18" s="9" t="s">
        <v>50</v>
      </c>
      <c r="C18" s="9" t="s">
        <v>51</v>
      </c>
      <c r="D18" s="64" t="s">
        <v>93</v>
      </c>
      <c r="E18" s="24" t="s">
        <v>55</v>
      </c>
      <c r="F18" s="10"/>
      <c r="G18" s="12"/>
    </row>
    <row r="19" spans="1:19" ht="291" customHeight="1">
      <c r="A19" s="20">
        <v>3</v>
      </c>
      <c r="B19" s="9" t="s">
        <v>50</v>
      </c>
      <c r="C19" s="9" t="s">
        <v>56</v>
      </c>
      <c r="D19" s="33" t="s">
        <v>94</v>
      </c>
      <c r="E19" s="21" t="s">
        <v>58</v>
      </c>
      <c r="F19" s="13"/>
      <c r="G19" s="12"/>
    </row>
    <row r="20" spans="1:19" ht="99.75" customHeight="1">
      <c r="A20" s="20">
        <v>4</v>
      </c>
      <c r="B20" s="9" t="s">
        <v>50</v>
      </c>
      <c r="C20" s="9" t="s">
        <v>59</v>
      </c>
      <c r="D20" s="15" t="s">
        <v>60</v>
      </c>
      <c r="E20" s="21" t="s">
        <v>61</v>
      </c>
      <c r="F20" s="10"/>
      <c r="G20" s="12"/>
    </row>
    <row r="21" spans="1:19" ht="177" customHeight="1">
      <c r="A21" s="20">
        <v>5</v>
      </c>
      <c r="B21" s="9" t="s">
        <v>50</v>
      </c>
      <c r="C21" s="9" t="s">
        <v>62</v>
      </c>
      <c r="D21" s="33" t="s">
        <v>63</v>
      </c>
      <c r="E21" s="21" t="s">
        <v>64</v>
      </c>
      <c r="F21" s="13"/>
      <c r="G21" s="12"/>
    </row>
    <row r="22" spans="1:19" ht="79.5" customHeight="1">
      <c r="A22" s="20">
        <v>6</v>
      </c>
      <c r="B22" s="9" t="s">
        <v>50</v>
      </c>
      <c r="C22" s="9" t="s">
        <v>65</v>
      </c>
      <c r="D22" s="10" t="s">
        <v>66</v>
      </c>
      <c r="E22" s="9" t="s">
        <v>67</v>
      </c>
      <c r="F22" s="10"/>
      <c r="G22" s="12"/>
    </row>
    <row r="23" spans="1:19" ht="67.2" customHeight="1">
      <c r="A23" s="20">
        <v>7</v>
      </c>
      <c r="B23" s="9" t="s">
        <v>50</v>
      </c>
      <c r="C23" s="9" t="s">
        <v>68</v>
      </c>
      <c r="D23" s="10" t="s">
        <v>69</v>
      </c>
      <c r="E23" s="9" t="s">
        <v>70</v>
      </c>
      <c r="F23" s="10"/>
      <c r="G23" s="12"/>
    </row>
    <row r="24" spans="1:19" ht="272.25" customHeight="1">
      <c r="A24" s="20">
        <v>8</v>
      </c>
      <c r="B24" s="37" t="s">
        <v>50</v>
      </c>
      <c r="C24" s="36" t="s">
        <v>205</v>
      </c>
      <c r="D24" s="13" t="s">
        <v>96</v>
      </c>
      <c r="E24" s="24" t="s">
        <v>97</v>
      </c>
      <c r="F24" s="13"/>
      <c r="G24" s="16"/>
    </row>
    <row r="25" spans="1:19" ht="272.25" customHeight="1">
      <c r="A25" s="20">
        <v>9</v>
      </c>
      <c r="B25" s="9" t="s">
        <v>98</v>
      </c>
      <c r="C25" s="36" t="s">
        <v>206</v>
      </c>
      <c r="D25" s="22" t="s">
        <v>100</v>
      </c>
      <c r="E25" s="9" t="s">
        <v>101</v>
      </c>
      <c r="F25" s="22"/>
      <c r="G25" s="126"/>
      <c r="H25" s="127"/>
      <c r="I25" s="127"/>
      <c r="J25" s="127"/>
      <c r="K25" s="127"/>
      <c r="L25" s="127"/>
      <c r="M25" s="127"/>
      <c r="N25" s="127"/>
      <c r="O25" s="127"/>
      <c r="P25" s="127"/>
      <c r="Q25" s="127"/>
      <c r="R25" s="127"/>
      <c r="S25" s="127"/>
    </row>
    <row r="26" spans="1:19" ht="94.5" customHeight="1">
      <c r="A26" s="20">
        <v>10</v>
      </c>
      <c r="B26" s="9" t="s">
        <v>98</v>
      </c>
      <c r="C26" s="36" t="s">
        <v>206</v>
      </c>
      <c r="D26" s="22" t="s">
        <v>102</v>
      </c>
      <c r="E26" s="9" t="s">
        <v>103</v>
      </c>
      <c r="F26" s="22"/>
      <c r="G26" s="126"/>
      <c r="H26" s="127"/>
      <c r="I26" s="127"/>
      <c r="J26" s="127"/>
      <c r="K26" s="127"/>
      <c r="L26" s="127"/>
      <c r="M26" s="127"/>
      <c r="N26" s="127"/>
      <c r="O26" s="127"/>
      <c r="P26" s="127"/>
      <c r="Q26" s="127"/>
      <c r="R26" s="127"/>
      <c r="S26" s="127"/>
    </row>
    <row r="27" spans="1:19" ht="103.5" customHeight="1">
      <c r="A27" s="20">
        <v>11</v>
      </c>
      <c r="B27" s="9" t="s">
        <v>98</v>
      </c>
      <c r="C27" s="36" t="s">
        <v>207</v>
      </c>
      <c r="D27" s="22" t="s">
        <v>105</v>
      </c>
      <c r="E27" s="9" t="s">
        <v>106</v>
      </c>
      <c r="F27" s="22"/>
      <c r="G27" s="126"/>
      <c r="H27" s="127"/>
      <c r="I27" s="127"/>
      <c r="J27" s="127"/>
      <c r="K27" s="127"/>
      <c r="L27" s="127"/>
      <c r="M27" s="127"/>
      <c r="N27" s="127"/>
      <c r="O27" s="127"/>
      <c r="P27" s="127"/>
      <c r="Q27" s="127"/>
      <c r="R27" s="127"/>
      <c r="S27" s="127"/>
    </row>
    <row r="28" spans="1:19" ht="75.75" customHeight="1">
      <c r="A28" s="20">
        <v>12</v>
      </c>
      <c r="B28" s="9" t="s">
        <v>98</v>
      </c>
      <c r="C28" s="62" t="s">
        <v>208</v>
      </c>
      <c r="D28" s="22" t="s">
        <v>209</v>
      </c>
      <c r="E28" s="9" t="s">
        <v>210</v>
      </c>
      <c r="F28" s="14"/>
    </row>
    <row r="29" spans="1:19" ht="30">
      <c r="E29" s="26"/>
      <c r="G29" s="1"/>
    </row>
    <row r="30" spans="1:19" ht="30">
      <c r="E30" s="26"/>
      <c r="G30" s="1"/>
    </row>
    <row r="31" spans="1:19" ht="30">
      <c r="E31" s="26"/>
      <c r="G31" s="1"/>
    </row>
    <row r="32" spans="1:19" ht="30">
      <c r="E32" s="26"/>
      <c r="G32" s="1"/>
    </row>
    <row r="33" spans="5:7" ht="30">
      <c r="E33" s="26"/>
      <c r="G33" s="1"/>
    </row>
    <row r="34" spans="5:7" ht="30">
      <c r="E34" s="26"/>
      <c r="G34" s="1"/>
    </row>
    <row r="35" spans="5:7" ht="30">
      <c r="E35" s="26"/>
      <c r="G35" s="1"/>
    </row>
    <row r="36" spans="5:7" ht="49.2" customHeight="1">
      <c r="E36" s="26"/>
      <c r="G36" s="1"/>
    </row>
    <row r="37" spans="5:7" ht="30">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42.6" customHeight="1">
      <c r="E44" s="26"/>
      <c r="G44" s="1"/>
    </row>
    <row r="45" spans="5:7" ht="30">
      <c r="E45" s="26"/>
      <c r="G45" s="1"/>
    </row>
    <row r="46" spans="5:7" ht="34.200000000000003" customHeight="1">
      <c r="E46" s="26"/>
      <c r="G46" s="1"/>
    </row>
    <row r="47" spans="5:7" ht="45.6" customHeight="1">
      <c r="E47" s="26"/>
      <c r="G47" s="1"/>
    </row>
    <row r="48" spans="5:7" ht="40.950000000000003" customHeight="1">
      <c r="E48" s="26"/>
      <c r="G48" s="1"/>
    </row>
    <row r="49" spans="5:7" ht="42.6" customHeight="1">
      <c r="E49" s="26"/>
      <c r="G49" s="1"/>
    </row>
    <row r="50" spans="5:7" ht="30">
      <c r="E50" s="26"/>
      <c r="G50" s="1"/>
    </row>
    <row r="51" spans="5:7" ht="46.95" customHeight="1">
      <c r="E51" s="26"/>
      <c r="G51" s="1"/>
    </row>
    <row r="52" spans="5:7" ht="43.95" customHeight="1">
      <c r="E52" s="26"/>
      <c r="G52" s="1"/>
    </row>
    <row r="53" spans="5:7" ht="52.95" customHeight="1">
      <c r="E53" s="26"/>
      <c r="G53" s="1"/>
    </row>
    <row r="54" spans="5:7" ht="30">
      <c r="E54" s="26"/>
      <c r="G54" s="1"/>
    </row>
    <row r="55" spans="5:7" ht="30">
      <c r="E55" s="26"/>
      <c r="G55" s="1"/>
    </row>
    <row r="56" spans="5:7" ht="30">
      <c r="E56" s="26"/>
      <c r="G56" s="1"/>
    </row>
    <row r="57" spans="5:7" ht="51" customHeight="1">
      <c r="E57" s="26"/>
      <c r="G57" s="1"/>
    </row>
    <row r="58" spans="5:7" ht="37.950000000000003" customHeight="1">
      <c r="E58" s="26"/>
      <c r="G58" s="1"/>
    </row>
    <row r="59" spans="5:7" ht="30">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sheetData>
  <mergeCells count="1">
    <mergeCell ref="A1:G4"/>
  </mergeCells>
  <conditionalFormatting sqref="E18 E29:E907">
    <cfRule type="containsText" dxfId="9" priority="5" operator="containsText" text="نجح">
      <formula>NOT(ISERROR(SEARCH(("نجح"),(E18))))</formula>
    </cfRule>
    <cfRule type="containsText" dxfId="8" priority="6" operator="containsText" text="فشل">
      <formula>NOT(ISERROR(SEARCH(("فشل"),(E18))))</formula>
    </cfRule>
  </conditionalFormatting>
  <conditionalFormatting sqref="E22">
    <cfRule type="containsText" dxfId="7" priority="3" operator="containsText" text="نجح">
      <formula>NOT(ISERROR(SEARCH(("نجح"),(E22))))</formula>
    </cfRule>
    <cfRule type="containsText" dxfId="6" priority="4" operator="containsText" text="فشل">
      <formula>NOT(ISERROR(SEARCH(("فشل"),(E22))))</formula>
    </cfRule>
  </conditionalFormatting>
  <dataValidations count="2">
    <dataValidation showDropDown="1" showInputMessage="1" showErrorMessage="1" sqref="C6:D6" xr:uid="{2EDE22F3-564F-4E6B-B0D1-CBA672A1ABF0}"/>
    <dataValidation type="list" allowBlank="1" showInputMessage="1" showErrorMessage="1" sqref="G17:G27 F24:F28" xr:uid="{55C7144E-6E52-4C23-B5CA-776A8C606AEF}">
      <formula1>$F$9:$F$10</formula1>
    </dataValidation>
  </dataValidations>
  <pageMargins left="0.7" right="0.7" top="0.75" bottom="0.75" header="0.3" footer="0.3"/>
  <pageSetup paperSize="9" orientation="portrait"/>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FA467-A634-415C-B32B-C30049FD8DF5}">
  <sheetPr>
    <outlinePr summaryBelow="0" summaryRight="0"/>
  </sheetPr>
  <dimension ref="A1:S944"/>
  <sheetViews>
    <sheetView rightToLeft="1" zoomScale="31" zoomScaleNormal="100" workbookViewId="0">
      <selection activeCell="D22" sqref="D22"/>
    </sheetView>
  </sheetViews>
  <sheetFormatPr defaultColWidth="12.6640625" defaultRowHeight="15.75" customHeight="1"/>
  <cols>
    <col min="1" max="1" width="22.33203125" style="2" customWidth="1"/>
    <col min="2" max="2" width="72.5546875" bestFit="1" customWidth="1"/>
    <col min="3" max="3" width="72.5546875" customWidth="1"/>
    <col min="4" max="4" width="174.6640625" style="42" customWidth="1"/>
    <col min="5" max="5" width="101.44140625" style="42" customWidth="1"/>
    <col min="6" max="6" width="60.5546875" style="49" bestFit="1" customWidth="1"/>
    <col min="7" max="7" width="60.44140625" bestFit="1" customWidth="1"/>
    <col min="8" max="15" width="9.109375"/>
    <col min="16" max="16" width="14" customWidth="1"/>
    <col min="17" max="17" width="19.88671875" customWidth="1"/>
  </cols>
  <sheetData>
    <row r="1" spans="1:19" ht="15.75" customHeight="1">
      <c r="A1" s="148" t="s">
        <v>0</v>
      </c>
      <c r="B1" s="148"/>
      <c r="C1" s="148"/>
      <c r="D1" s="148"/>
      <c r="E1" s="148"/>
      <c r="F1" s="148"/>
      <c r="G1" s="148"/>
      <c r="I1" s="141"/>
      <c r="J1" s="141"/>
      <c r="K1" s="141"/>
      <c r="L1" s="141"/>
      <c r="M1" s="141"/>
      <c r="N1" s="141"/>
      <c r="O1" s="141"/>
      <c r="P1" s="141"/>
      <c r="Q1" s="141"/>
      <c r="R1" s="141"/>
      <c r="S1" s="141"/>
    </row>
    <row r="2" spans="1:19" ht="15.75" customHeight="1">
      <c r="A2" s="148"/>
      <c r="B2" s="148"/>
      <c r="C2" s="148"/>
      <c r="D2" s="148"/>
      <c r="E2" s="148"/>
      <c r="F2" s="148"/>
      <c r="G2" s="148"/>
      <c r="I2" s="141"/>
      <c r="J2" s="141"/>
      <c r="K2" s="141"/>
      <c r="L2" s="141"/>
      <c r="M2" s="141"/>
      <c r="N2" s="141"/>
      <c r="O2" s="141"/>
      <c r="P2" s="141"/>
      <c r="Q2" s="141"/>
      <c r="R2" s="141"/>
      <c r="S2" s="141"/>
    </row>
    <row r="3" spans="1:19" ht="15.75" customHeight="1">
      <c r="A3" s="148"/>
      <c r="B3" s="148"/>
      <c r="C3" s="148"/>
      <c r="D3" s="148"/>
      <c r="E3" s="148"/>
      <c r="F3" s="148"/>
      <c r="G3" s="148"/>
      <c r="I3" s="141"/>
      <c r="J3" s="141"/>
      <c r="K3" s="141"/>
      <c r="L3" s="141"/>
      <c r="M3" s="141"/>
      <c r="N3" s="141"/>
      <c r="O3" s="141"/>
      <c r="P3" s="141"/>
      <c r="Q3" s="141"/>
      <c r="R3" s="141"/>
      <c r="S3" s="141"/>
    </row>
    <row r="4" spans="1:19" ht="39.6" customHeight="1">
      <c r="A4" s="148"/>
      <c r="B4" s="148"/>
      <c r="C4" s="148"/>
      <c r="D4" s="148"/>
      <c r="E4" s="148"/>
      <c r="F4" s="148"/>
      <c r="G4" s="148"/>
      <c r="I4" s="141"/>
      <c r="J4" s="141"/>
      <c r="K4" s="141"/>
      <c r="L4" s="141"/>
      <c r="M4" s="141"/>
      <c r="N4" s="141"/>
      <c r="O4" s="141"/>
      <c r="P4" s="141"/>
      <c r="Q4" s="141"/>
      <c r="R4" s="141"/>
      <c r="S4" s="141"/>
    </row>
    <row r="5" spans="1:19" ht="1.2" customHeight="1">
      <c r="A5" s="3"/>
      <c r="B5" s="4"/>
      <c r="C5" s="4"/>
      <c r="D5" s="41"/>
      <c r="E5" s="41"/>
      <c r="F5" s="47"/>
      <c r="G5" s="4"/>
      <c r="I5" s="141"/>
      <c r="J5" s="141"/>
      <c r="K5" s="141"/>
      <c r="L5" s="141"/>
      <c r="M5" s="141"/>
      <c r="N5" s="141"/>
      <c r="O5" s="141"/>
      <c r="P5" s="141"/>
      <c r="Q5" s="141"/>
      <c r="R5" s="141"/>
      <c r="S5" s="141"/>
    </row>
    <row r="6" spans="1:19" ht="22.8">
      <c r="A6" s="3"/>
      <c r="B6" s="4"/>
      <c r="C6" s="4"/>
      <c r="D6" s="111"/>
      <c r="E6" s="111"/>
      <c r="F6" s="47"/>
      <c r="G6" s="4"/>
      <c r="I6" s="141"/>
      <c r="J6" s="141"/>
      <c r="K6" s="141"/>
      <c r="L6" s="141"/>
      <c r="M6" s="141"/>
      <c r="N6" s="141"/>
      <c r="O6" s="141"/>
      <c r="P6" s="141"/>
      <c r="Q6" s="141"/>
      <c r="R6" s="141"/>
      <c r="S6" s="141"/>
    </row>
    <row r="7" spans="1:19" ht="22.8">
      <c r="A7" s="3"/>
      <c r="B7" s="4"/>
      <c r="C7" s="4"/>
      <c r="D7" s="111"/>
      <c r="E7" s="111"/>
      <c r="F7" s="47"/>
      <c r="G7" s="4"/>
      <c r="I7" s="141"/>
      <c r="J7" s="141"/>
      <c r="K7" s="141"/>
      <c r="L7" s="141"/>
      <c r="M7" s="141"/>
      <c r="N7" s="141"/>
      <c r="O7" s="142"/>
      <c r="P7" s="142"/>
      <c r="Q7" s="142"/>
      <c r="R7" s="142"/>
      <c r="S7" s="142"/>
    </row>
    <row r="8" spans="1:19" ht="22.8">
      <c r="A8" s="32" t="s">
        <v>2</v>
      </c>
      <c r="B8" s="29" t="s">
        <v>38</v>
      </c>
      <c r="C8" s="5"/>
      <c r="D8" s="111"/>
      <c r="E8" s="111"/>
      <c r="F8" s="47"/>
      <c r="G8" s="4"/>
      <c r="H8" s="141"/>
      <c r="I8" s="141"/>
      <c r="J8" s="141"/>
      <c r="K8" s="141"/>
      <c r="L8" s="141"/>
      <c r="M8" s="133"/>
      <c r="N8" s="133"/>
      <c r="O8" s="7"/>
      <c r="P8" s="7"/>
      <c r="Q8" s="142"/>
      <c r="R8" s="142"/>
      <c r="S8" s="142"/>
    </row>
    <row r="9" spans="1:19" ht="66.599999999999994">
      <c r="A9" s="32" t="s">
        <v>39</v>
      </c>
      <c r="B9" s="29" t="s">
        <v>211</v>
      </c>
      <c r="C9" s="5"/>
      <c r="D9" s="111"/>
      <c r="E9" s="111"/>
      <c r="F9" s="47"/>
      <c r="G9" s="144"/>
      <c r="H9" s="141"/>
      <c r="I9" s="141"/>
      <c r="J9" s="141"/>
      <c r="K9" s="141"/>
      <c r="L9" s="141"/>
      <c r="M9" s="133"/>
      <c r="N9" s="133"/>
      <c r="O9" s="7"/>
      <c r="P9" s="7"/>
      <c r="Q9" s="142"/>
      <c r="R9" s="142"/>
      <c r="S9" s="142"/>
    </row>
    <row r="10" spans="1:19" ht="22.8">
      <c r="A10" s="4"/>
      <c r="B10" s="4"/>
      <c r="C10" s="111"/>
      <c r="D10" s="41"/>
      <c r="E10" s="41"/>
      <c r="F10" s="47"/>
      <c r="G10" s="144"/>
      <c r="H10" s="141"/>
      <c r="I10" s="141"/>
      <c r="J10" s="141"/>
      <c r="K10" s="141"/>
      <c r="L10" s="141"/>
      <c r="M10" s="133"/>
      <c r="N10" s="133"/>
      <c r="O10" s="7" t="s">
        <v>41</v>
      </c>
      <c r="P10" s="7">
        <f>COUNTIF(G:G,"نجح")</f>
        <v>0</v>
      </c>
      <c r="Q10" s="142"/>
      <c r="R10" s="142"/>
      <c r="S10" s="142"/>
    </row>
    <row r="11" spans="1:19" ht="99" customHeight="1">
      <c r="A11" s="4"/>
      <c r="B11" s="4"/>
      <c r="C11" s="110"/>
      <c r="D11" s="41"/>
      <c r="E11" s="41"/>
      <c r="F11" s="47"/>
      <c r="G11" s="144"/>
      <c r="H11" s="141"/>
      <c r="I11" s="141"/>
      <c r="J11" s="141"/>
      <c r="K11" s="141"/>
      <c r="L11" s="141"/>
      <c r="M11" s="133"/>
      <c r="N11" s="133"/>
      <c r="O11" s="7" t="s">
        <v>8</v>
      </c>
      <c r="P11" s="7">
        <f>COUNTIF(G:G,"فشل")</f>
        <v>0</v>
      </c>
      <c r="Q11" s="142"/>
      <c r="R11" s="142"/>
      <c r="S11" s="142"/>
    </row>
    <row r="12" spans="1:19" ht="25.2" customHeight="1">
      <c r="A12" s="4"/>
      <c r="B12" s="4"/>
      <c r="C12" s="4"/>
      <c r="D12" s="41"/>
      <c r="E12" s="41"/>
      <c r="F12" s="47"/>
      <c r="G12" s="4"/>
      <c r="H12" s="141"/>
      <c r="I12" s="141"/>
      <c r="J12" s="141"/>
      <c r="K12" s="141"/>
      <c r="L12" s="141"/>
      <c r="M12" s="133"/>
      <c r="N12" s="133"/>
      <c r="O12" s="133"/>
      <c r="P12" s="7"/>
      <c r="Q12" s="142"/>
      <c r="R12" s="142"/>
      <c r="S12" s="142"/>
    </row>
    <row r="13" spans="1:19" ht="20.399999999999999">
      <c r="A13" s="4"/>
      <c r="B13" s="4"/>
      <c r="C13" s="4"/>
      <c r="D13" s="41"/>
      <c r="E13" s="41"/>
      <c r="F13" s="47"/>
      <c r="G13" s="4"/>
      <c r="H13" s="141"/>
      <c r="I13" s="141"/>
      <c r="J13" s="141"/>
      <c r="K13" s="141"/>
      <c r="L13" s="141"/>
      <c r="M13" s="133"/>
      <c r="N13" s="133"/>
      <c r="O13" s="133"/>
      <c r="P13" s="7"/>
      <c r="Q13" s="142"/>
      <c r="R13" s="142"/>
      <c r="S13" s="142"/>
    </row>
    <row r="14" spans="1:19" ht="20.399999999999999">
      <c r="A14" s="4"/>
      <c r="B14" s="4"/>
      <c r="C14" s="4"/>
      <c r="D14" s="41"/>
      <c r="E14" s="41"/>
      <c r="F14" s="47"/>
      <c r="G14" s="4"/>
      <c r="H14" s="141"/>
      <c r="I14" s="141"/>
      <c r="J14" s="141"/>
      <c r="K14" s="141"/>
      <c r="L14" s="141"/>
      <c r="M14" s="133"/>
      <c r="N14" s="133"/>
      <c r="O14" s="133"/>
      <c r="P14" s="7"/>
      <c r="Q14" s="142"/>
      <c r="R14" s="142"/>
      <c r="S14" s="142"/>
    </row>
    <row r="15" spans="1:19" s="8" customFormat="1" ht="34.799999999999997">
      <c r="A15" s="19" t="s">
        <v>43</v>
      </c>
      <c r="B15" s="18" t="s">
        <v>44</v>
      </c>
      <c r="C15" s="18" t="s">
        <v>45</v>
      </c>
      <c r="D15" s="18" t="s">
        <v>46</v>
      </c>
      <c r="E15" s="46" t="s">
        <v>47</v>
      </c>
      <c r="F15" s="18" t="s">
        <v>48</v>
      </c>
      <c r="G15" s="18" t="s">
        <v>49</v>
      </c>
      <c r="H15" s="143"/>
      <c r="I15" s="143"/>
      <c r="J15" s="143"/>
      <c r="K15" s="143"/>
      <c r="L15" s="143"/>
      <c r="M15" s="134"/>
      <c r="N15" s="134"/>
      <c r="O15" s="134"/>
      <c r="P15" s="134"/>
      <c r="Q15" s="143"/>
      <c r="R15" s="143"/>
      <c r="S15" s="143"/>
    </row>
    <row r="16" spans="1:19" ht="73.2" customHeight="1">
      <c r="A16" s="20">
        <v>1</v>
      </c>
      <c r="B16" s="9" t="s">
        <v>50</v>
      </c>
      <c r="C16" s="9" t="s">
        <v>211</v>
      </c>
      <c r="D16" s="43" t="s">
        <v>212</v>
      </c>
      <c r="E16" s="50" t="s">
        <v>213</v>
      </c>
      <c r="F16" s="9"/>
      <c r="G16" s="12"/>
      <c r="H16" s="141"/>
      <c r="I16" s="141"/>
      <c r="J16" s="141"/>
      <c r="K16" s="141"/>
      <c r="L16" s="141"/>
      <c r="M16" s="141"/>
      <c r="N16" s="141"/>
      <c r="O16" s="141"/>
      <c r="P16" s="141"/>
      <c r="Q16" s="141"/>
      <c r="R16" s="141"/>
      <c r="S16" s="141"/>
    </row>
    <row r="17" spans="1:7" ht="84.6" customHeight="1">
      <c r="A17" s="20">
        <v>2</v>
      </c>
      <c r="B17" s="9" t="s">
        <v>50</v>
      </c>
      <c r="C17" s="9" t="s">
        <v>211</v>
      </c>
      <c r="D17" s="44" t="s">
        <v>214</v>
      </c>
      <c r="E17" s="50" t="s">
        <v>215</v>
      </c>
      <c r="F17" s="10"/>
      <c r="G17" s="14"/>
    </row>
    <row r="18" spans="1:7" ht="81" customHeight="1">
      <c r="A18" s="20">
        <v>3</v>
      </c>
      <c r="B18" s="9" t="s">
        <v>50</v>
      </c>
      <c r="C18" s="9" t="s">
        <v>211</v>
      </c>
      <c r="D18" s="44" t="s">
        <v>216</v>
      </c>
      <c r="E18" s="50" t="s">
        <v>217</v>
      </c>
      <c r="F18" s="10"/>
      <c r="G18" s="14"/>
    </row>
    <row r="19" spans="1:7" ht="93.6" customHeight="1">
      <c r="A19" s="20">
        <v>4</v>
      </c>
      <c r="B19" s="9" t="s">
        <v>50</v>
      </c>
      <c r="C19" s="9" t="s">
        <v>211</v>
      </c>
      <c r="D19" s="44" t="s">
        <v>218</v>
      </c>
      <c r="E19" s="50" t="s">
        <v>217</v>
      </c>
      <c r="F19" s="13"/>
      <c r="G19" s="16"/>
    </row>
    <row r="20" spans="1:7" ht="165.6" customHeight="1">
      <c r="A20" s="20">
        <v>5</v>
      </c>
      <c r="B20" s="9" t="s">
        <v>50</v>
      </c>
      <c r="C20" s="9" t="s">
        <v>219</v>
      </c>
      <c r="D20" s="44" t="s">
        <v>220</v>
      </c>
      <c r="E20" s="50" t="s">
        <v>217</v>
      </c>
      <c r="F20" s="13"/>
      <c r="G20" s="16"/>
    </row>
    <row r="21" spans="1:7" ht="87.75" customHeight="1">
      <c r="A21" s="20">
        <v>7</v>
      </c>
      <c r="B21" s="9" t="s">
        <v>50</v>
      </c>
      <c r="C21" s="9" t="s">
        <v>219</v>
      </c>
      <c r="D21" s="44" t="s">
        <v>221</v>
      </c>
      <c r="E21" s="51" t="s">
        <v>222</v>
      </c>
      <c r="F21" s="13"/>
      <c r="G21" s="16"/>
    </row>
    <row r="22" spans="1:7" ht="99" customHeight="1">
      <c r="A22" s="20">
        <v>8</v>
      </c>
      <c r="B22" s="28" t="s">
        <v>223</v>
      </c>
      <c r="C22" s="9" t="s">
        <v>224</v>
      </c>
      <c r="D22" s="44" t="s">
        <v>225</v>
      </c>
      <c r="E22" s="51" t="s">
        <v>226</v>
      </c>
      <c r="F22" s="13"/>
      <c r="G22" s="16"/>
    </row>
    <row r="23" spans="1:7" ht="82.2" customHeight="1">
      <c r="A23" s="20">
        <v>10</v>
      </c>
      <c r="B23" s="28" t="s">
        <v>223</v>
      </c>
      <c r="C23" s="9" t="s">
        <v>227</v>
      </c>
      <c r="D23" s="44" t="s">
        <v>228</v>
      </c>
      <c r="E23" s="51" t="s">
        <v>229</v>
      </c>
      <c r="F23" s="13"/>
      <c r="G23" s="16"/>
    </row>
    <row r="24" spans="1:7" ht="92.25" customHeight="1">
      <c r="A24" s="20">
        <v>12</v>
      </c>
      <c r="B24" s="28" t="s">
        <v>223</v>
      </c>
      <c r="C24" s="9" t="s">
        <v>230</v>
      </c>
      <c r="D24" s="44" t="s">
        <v>231</v>
      </c>
      <c r="E24" s="51" t="s">
        <v>232</v>
      </c>
      <c r="F24" s="13"/>
      <c r="G24" s="16"/>
    </row>
    <row r="25" spans="1:7" ht="90" customHeight="1">
      <c r="A25" s="20">
        <v>13</v>
      </c>
      <c r="B25" s="28" t="s">
        <v>223</v>
      </c>
      <c r="C25" s="9" t="s">
        <v>230</v>
      </c>
      <c r="D25" s="44" t="s">
        <v>233</v>
      </c>
      <c r="E25" s="50" t="s">
        <v>234</v>
      </c>
      <c r="F25" s="13"/>
      <c r="G25" s="16"/>
    </row>
    <row r="26" spans="1:7" ht="84" customHeight="1">
      <c r="A26" s="20">
        <v>14</v>
      </c>
      <c r="B26" s="28" t="s">
        <v>223</v>
      </c>
      <c r="C26" s="9" t="s">
        <v>230</v>
      </c>
      <c r="D26" s="45" t="s">
        <v>235</v>
      </c>
      <c r="E26" s="51" t="s">
        <v>236</v>
      </c>
      <c r="F26" s="10"/>
      <c r="G26" s="14"/>
    </row>
    <row r="27" spans="1:7" ht="78" customHeight="1">
      <c r="F27" s="52"/>
    </row>
    <row r="28" spans="1:7" ht="20.399999999999999">
      <c r="F28" s="52"/>
    </row>
    <row r="29" spans="1:7" ht="81.75" customHeight="1">
      <c r="F29" s="52"/>
    </row>
    <row r="30" spans="1:7" ht="80.25" customHeight="1">
      <c r="F30" s="52"/>
    </row>
    <row r="31" spans="1:7" ht="79.5" customHeight="1">
      <c r="F31" s="52"/>
    </row>
    <row r="32" spans="1:7" ht="85.5" customHeight="1">
      <c r="F32" s="52"/>
    </row>
    <row r="33" spans="6:6" ht="81.75" customHeight="1">
      <c r="F33" s="52"/>
    </row>
    <row r="34" spans="6:6" ht="67.5" customHeight="1">
      <c r="F34" s="52"/>
    </row>
    <row r="35" spans="6:6" ht="78.75" customHeight="1">
      <c r="F35" s="48"/>
    </row>
    <row r="36" spans="6:6" ht="75.75" customHeight="1">
      <c r="F36" s="48"/>
    </row>
    <row r="37" spans="6:6" ht="75.75" customHeight="1">
      <c r="F37" s="48"/>
    </row>
    <row r="38" spans="6:6" ht="83.25" customHeight="1">
      <c r="F38" s="48"/>
    </row>
    <row r="39" spans="6:6" ht="81.75" customHeight="1">
      <c r="F39" s="48"/>
    </row>
    <row r="40" spans="6:6" ht="20.399999999999999">
      <c r="F40" s="48"/>
    </row>
    <row r="41" spans="6:6" ht="80.25" customHeight="1">
      <c r="F41" s="48"/>
    </row>
    <row r="42" spans="6:6" ht="90" customHeight="1">
      <c r="F42" s="48"/>
    </row>
    <row r="43" spans="6:6" ht="90" customHeight="1">
      <c r="F43" s="48"/>
    </row>
    <row r="44" spans="6:6" ht="85.5" customHeight="1">
      <c r="F44" s="48"/>
    </row>
    <row r="45" spans="6:6" ht="20.399999999999999">
      <c r="F45" s="48"/>
    </row>
    <row r="46" spans="6:6" ht="81.75" customHeight="1">
      <c r="F46" s="48"/>
    </row>
    <row r="47" spans="6:6" ht="83.25" customHeight="1">
      <c r="F47" s="48"/>
    </row>
    <row r="48" spans="6:6" ht="78.75" customHeight="1">
      <c r="F48" s="48"/>
    </row>
    <row r="49" spans="6:6" ht="75.75" customHeight="1">
      <c r="F49" s="48"/>
    </row>
    <row r="50" spans="6:6" ht="84.75" customHeight="1">
      <c r="F50" s="48"/>
    </row>
    <row r="51" spans="6:6" ht="20.399999999999999">
      <c r="F51" s="48"/>
    </row>
    <row r="52" spans="6:6" ht="20.399999999999999">
      <c r="F52" s="48"/>
    </row>
    <row r="53" spans="6:6" ht="20.399999999999999">
      <c r="F53" s="48"/>
    </row>
    <row r="54" spans="6:6" ht="20.399999999999999">
      <c r="F54" s="48"/>
    </row>
    <row r="55" spans="6:6" ht="20.399999999999999">
      <c r="F55" s="48"/>
    </row>
    <row r="56" spans="6:6" ht="20.399999999999999">
      <c r="F56" s="48"/>
    </row>
    <row r="57" spans="6:6" ht="20.399999999999999">
      <c r="F57" s="48"/>
    </row>
    <row r="58" spans="6:6" ht="20.399999999999999">
      <c r="F58" s="48"/>
    </row>
    <row r="59" spans="6:6" ht="20.399999999999999">
      <c r="F59" s="48"/>
    </row>
    <row r="60" spans="6:6" ht="20.399999999999999">
      <c r="F60" s="48"/>
    </row>
    <row r="61" spans="6:6" ht="36.6" customHeight="1">
      <c r="F61" s="48"/>
    </row>
    <row r="62" spans="6:6" ht="45" customHeight="1">
      <c r="F62" s="48"/>
    </row>
    <row r="63" spans="6:6" ht="20.399999999999999">
      <c r="F63" s="48"/>
    </row>
    <row r="64" spans="6:6" ht="52.95" customHeight="1">
      <c r="F64" s="48"/>
    </row>
    <row r="65" spans="6:6" ht="20.399999999999999">
      <c r="F65" s="48"/>
    </row>
    <row r="66" spans="6:6" ht="20.399999999999999">
      <c r="F66" s="48"/>
    </row>
    <row r="67" spans="6:6" ht="20.399999999999999">
      <c r="F67" s="48"/>
    </row>
    <row r="68" spans="6:6" ht="20.399999999999999">
      <c r="F68" s="48"/>
    </row>
    <row r="69" spans="6:6" ht="20.399999999999999">
      <c r="F69" s="48"/>
    </row>
    <row r="70" spans="6:6" ht="20.399999999999999">
      <c r="F70" s="48"/>
    </row>
    <row r="71" spans="6:6" ht="20.399999999999999">
      <c r="F71" s="48"/>
    </row>
    <row r="72" spans="6:6" ht="20.399999999999999">
      <c r="F72" s="48"/>
    </row>
    <row r="73" spans="6:6" ht="49.2" customHeight="1">
      <c r="F73" s="48"/>
    </row>
    <row r="74" spans="6:6" ht="20.399999999999999">
      <c r="F74" s="48"/>
    </row>
    <row r="75" spans="6:6" ht="20.399999999999999">
      <c r="F75" s="48"/>
    </row>
    <row r="76" spans="6:6" ht="20.399999999999999">
      <c r="F76" s="48"/>
    </row>
    <row r="77" spans="6:6" ht="20.399999999999999">
      <c r="F77" s="48"/>
    </row>
    <row r="78" spans="6:6" ht="20.399999999999999">
      <c r="F78" s="48"/>
    </row>
    <row r="79" spans="6:6" ht="20.399999999999999">
      <c r="F79" s="48"/>
    </row>
    <row r="80" spans="6:6" ht="20.399999999999999">
      <c r="F80" s="48"/>
    </row>
    <row r="81" spans="6:6" ht="42.6" customHeight="1">
      <c r="F81" s="48"/>
    </row>
    <row r="82" spans="6:6" ht="20.399999999999999">
      <c r="F82" s="48"/>
    </row>
    <row r="83" spans="6:6" ht="34.200000000000003" customHeight="1">
      <c r="F83" s="48"/>
    </row>
    <row r="84" spans="6:6" ht="45.6" customHeight="1">
      <c r="F84" s="48"/>
    </row>
    <row r="85" spans="6:6" ht="40.950000000000003" customHeight="1">
      <c r="F85" s="48"/>
    </row>
    <row r="86" spans="6:6" ht="42.6" customHeight="1">
      <c r="F86" s="48"/>
    </row>
    <row r="87" spans="6:6" ht="20.399999999999999">
      <c r="F87" s="48"/>
    </row>
    <row r="88" spans="6:6" ht="46.95" customHeight="1">
      <c r="F88" s="48"/>
    </row>
    <row r="89" spans="6:6" ht="43.95" customHeight="1">
      <c r="F89" s="48"/>
    </row>
    <row r="90" spans="6:6" ht="52.95" customHeight="1">
      <c r="F90" s="48"/>
    </row>
    <row r="91" spans="6:6" ht="20.399999999999999">
      <c r="F91" s="48"/>
    </row>
    <row r="92" spans="6:6" ht="20.399999999999999">
      <c r="F92" s="48"/>
    </row>
    <row r="93" spans="6:6" ht="20.399999999999999">
      <c r="F93" s="48"/>
    </row>
    <row r="94" spans="6:6" ht="51" customHeight="1">
      <c r="F94" s="48"/>
    </row>
    <row r="95" spans="6:6" ht="37.950000000000003" customHeight="1">
      <c r="F95" s="48"/>
    </row>
    <row r="96" spans="6:6" ht="20.399999999999999">
      <c r="F96" s="48"/>
    </row>
    <row r="97" spans="6:6" ht="20.399999999999999">
      <c r="F97" s="48"/>
    </row>
    <row r="98" spans="6:6" ht="20.399999999999999">
      <c r="F98" s="48"/>
    </row>
    <row r="99" spans="6:6" ht="20.399999999999999">
      <c r="F99" s="48"/>
    </row>
    <row r="100" spans="6:6" ht="20.399999999999999">
      <c r="F100" s="48"/>
    </row>
    <row r="101" spans="6:6" ht="20.399999999999999">
      <c r="F101" s="48"/>
    </row>
    <row r="102" spans="6:6" ht="20.399999999999999">
      <c r="F102" s="48"/>
    </row>
    <row r="103" spans="6:6" ht="20.399999999999999">
      <c r="F103" s="48"/>
    </row>
    <row r="104" spans="6:6" ht="20.399999999999999">
      <c r="F104" s="48"/>
    </row>
    <row r="105" spans="6:6" ht="20.399999999999999">
      <c r="F105" s="48"/>
    </row>
    <row r="106" spans="6:6" ht="20.399999999999999">
      <c r="F106" s="48"/>
    </row>
    <row r="107" spans="6:6" ht="20.399999999999999">
      <c r="F107" s="48"/>
    </row>
    <row r="108" spans="6:6" ht="20.399999999999999">
      <c r="F108" s="48"/>
    </row>
    <row r="109" spans="6:6" ht="20.399999999999999">
      <c r="F109" s="48"/>
    </row>
    <row r="110" spans="6:6" ht="20.399999999999999">
      <c r="F110" s="48"/>
    </row>
    <row r="111" spans="6:6" ht="20.399999999999999">
      <c r="F111" s="48"/>
    </row>
    <row r="112" spans="6:6" ht="20.399999999999999">
      <c r="F112" s="48"/>
    </row>
    <row r="113" spans="6:6" ht="20.399999999999999">
      <c r="F113" s="48"/>
    </row>
    <row r="114" spans="6:6" ht="20.399999999999999">
      <c r="F114" s="48"/>
    </row>
    <row r="115" spans="6:6" ht="20.399999999999999">
      <c r="F115" s="48"/>
    </row>
    <row r="116" spans="6:6" ht="20.399999999999999">
      <c r="F116" s="48"/>
    </row>
    <row r="117" spans="6:6" ht="20.399999999999999">
      <c r="F117" s="48"/>
    </row>
    <row r="118" spans="6:6" ht="20.399999999999999">
      <c r="F118" s="48"/>
    </row>
    <row r="119" spans="6:6" ht="20.399999999999999">
      <c r="F119" s="48"/>
    </row>
    <row r="120" spans="6:6" ht="20.399999999999999">
      <c r="F120" s="48"/>
    </row>
    <row r="121" spans="6:6" ht="20.399999999999999">
      <c r="F121" s="48"/>
    </row>
    <row r="122" spans="6:6" ht="20.399999999999999">
      <c r="F122" s="48"/>
    </row>
    <row r="123" spans="6:6" ht="20.399999999999999">
      <c r="F123" s="48"/>
    </row>
    <row r="124" spans="6:6" ht="20.399999999999999">
      <c r="F124" s="48"/>
    </row>
    <row r="125" spans="6:6" ht="20.399999999999999">
      <c r="F125" s="48"/>
    </row>
    <row r="126" spans="6:6" ht="20.399999999999999">
      <c r="F126" s="48"/>
    </row>
    <row r="127" spans="6:6" ht="20.399999999999999">
      <c r="F127" s="48"/>
    </row>
    <row r="128" spans="6:6" ht="20.399999999999999">
      <c r="F128" s="48"/>
    </row>
    <row r="129" spans="6:6" ht="20.399999999999999">
      <c r="F129" s="48"/>
    </row>
    <row r="130" spans="6:6" ht="20.399999999999999">
      <c r="F130" s="48"/>
    </row>
    <row r="131" spans="6:6" ht="20.399999999999999">
      <c r="F131" s="48"/>
    </row>
    <row r="132" spans="6:6" ht="20.399999999999999">
      <c r="F132" s="48"/>
    </row>
    <row r="133" spans="6:6" ht="20.399999999999999">
      <c r="F133" s="48"/>
    </row>
    <row r="134" spans="6:6" ht="20.399999999999999">
      <c r="F134" s="48"/>
    </row>
    <row r="135" spans="6:6" ht="20.399999999999999">
      <c r="F135" s="48"/>
    </row>
    <row r="136" spans="6:6" ht="20.399999999999999">
      <c r="F136" s="48"/>
    </row>
    <row r="137" spans="6:6" ht="20.399999999999999">
      <c r="F137" s="48"/>
    </row>
    <row r="138" spans="6:6" ht="20.399999999999999">
      <c r="F138" s="48"/>
    </row>
    <row r="139" spans="6:6" ht="20.399999999999999">
      <c r="F139" s="48"/>
    </row>
    <row r="140" spans="6:6" ht="20.399999999999999">
      <c r="F140" s="48"/>
    </row>
    <row r="141" spans="6:6" ht="20.399999999999999">
      <c r="F141" s="48"/>
    </row>
    <row r="142" spans="6:6" ht="20.399999999999999">
      <c r="F142" s="48"/>
    </row>
    <row r="143" spans="6:6" ht="20.399999999999999">
      <c r="F143" s="48"/>
    </row>
    <row r="144" spans="6:6" ht="20.399999999999999">
      <c r="F144" s="48"/>
    </row>
    <row r="145" spans="6:6" ht="20.399999999999999">
      <c r="F145" s="48"/>
    </row>
    <row r="146" spans="6:6" ht="20.399999999999999">
      <c r="F146" s="48"/>
    </row>
    <row r="147" spans="6:6" ht="20.399999999999999">
      <c r="F147" s="48"/>
    </row>
    <row r="148" spans="6:6" ht="20.399999999999999">
      <c r="F148" s="48"/>
    </row>
    <row r="149" spans="6:6" ht="20.399999999999999">
      <c r="F149" s="48"/>
    </row>
    <row r="150" spans="6:6" ht="20.399999999999999">
      <c r="F150" s="48"/>
    </row>
    <row r="151" spans="6:6" ht="20.399999999999999">
      <c r="F151" s="48"/>
    </row>
    <row r="152" spans="6:6" ht="20.399999999999999">
      <c r="F152" s="48"/>
    </row>
    <row r="153" spans="6:6" ht="20.399999999999999">
      <c r="F153" s="48"/>
    </row>
    <row r="154" spans="6:6" ht="20.399999999999999">
      <c r="F154" s="48"/>
    </row>
    <row r="155" spans="6:6" ht="20.399999999999999">
      <c r="F155" s="48"/>
    </row>
    <row r="156" spans="6:6" ht="20.399999999999999">
      <c r="F156" s="48"/>
    </row>
    <row r="157" spans="6:6" ht="20.399999999999999">
      <c r="F157" s="48"/>
    </row>
    <row r="158" spans="6:6" ht="20.399999999999999">
      <c r="F158" s="48"/>
    </row>
    <row r="159" spans="6:6" ht="20.399999999999999">
      <c r="F159" s="48"/>
    </row>
    <row r="160" spans="6:6" ht="20.399999999999999">
      <c r="F160" s="48"/>
    </row>
    <row r="161" spans="6:6" ht="20.399999999999999">
      <c r="F161" s="48"/>
    </row>
    <row r="162" spans="6:6" ht="20.399999999999999">
      <c r="F162" s="48"/>
    </row>
    <row r="163" spans="6:6" ht="20.399999999999999">
      <c r="F163" s="48"/>
    </row>
    <row r="164" spans="6:6" ht="20.399999999999999">
      <c r="F164" s="48"/>
    </row>
    <row r="165" spans="6:6" ht="20.399999999999999">
      <c r="F165" s="48"/>
    </row>
    <row r="166" spans="6:6" ht="20.399999999999999">
      <c r="F166" s="48"/>
    </row>
    <row r="167" spans="6:6" ht="20.399999999999999">
      <c r="F167" s="48"/>
    </row>
    <row r="168" spans="6:6" ht="20.399999999999999">
      <c r="F168" s="48"/>
    </row>
    <row r="169" spans="6:6" ht="20.399999999999999">
      <c r="F169" s="48"/>
    </row>
    <row r="170" spans="6:6" ht="20.399999999999999">
      <c r="F170" s="48"/>
    </row>
    <row r="171" spans="6:6" ht="20.399999999999999">
      <c r="F171" s="48"/>
    </row>
    <row r="172" spans="6:6" ht="20.399999999999999">
      <c r="F172" s="48"/>
    </row>
    <row r="173" spans="6:6" ht="20.399999999999999">
      <c r="F173" s="48"/>
    </row>
    <row r="174" spans="6:6" ht="20.399999999999999">
      <c r="F174" s="48"/>
    </row>
    <row r="175" spans="6:6" ht="20.399999999999999">
      <c r="F175" s="48"/>
    </row>
    <row r="176" spans="6:6" ht="20.399999999999999">
      <c r="F176" s="48"/>
    </row>
    <row r="177" spans="6:6" ht="20.399999999999999">
      <c r="F177" s="48"/>
    </row>
    <row r="178" spans="6:6" ht="20.399999999999999">
      <c r="F178" s="48"/>
    </row>
    <row r="179" spans="6:6" ht="20.399999999999999">
      <c r="F179" s="48"/>
    </row>
    <row r="180" spans="6:6" ht="20.399999999999999">
      <c r="F180" s="48"/>
    </row>
    <row r="181" spans="6:6" ht="20.399999999999999">
      <c r="F181" s="48"/>
    </row>
    <row r="182" spans="6:6" ht="20.399999999999999">
      <c r="F182" s="48"/>
    </row>
    <row r="183" spans="6:6" ht="20.399999999999999">
      <c r="F183" s="48"/>
    </row>
    <row r="184" spans="6:6" ht="20.399999999999999">
      <c r="F184" s="48"/>
    </row>
    <row r="185" spans="6:6" ht="20.399999999999999">
      <c r="F185" s="48"/>
    </row>
    <row r="186" spans="6:6" ht="20.399999999999999">
      <c r="F186" s="48"/>
    </row>
    <row r="187" spans="6:6" ht="20.399999999999999">
      <c r="F187" s="48"/>
    </row>
    <row r="188" spans="6:6" ht="20.399999999999999">
      <c r="F188" s="48"/>
    </row>
    <row r="189" spans="6:6" ht="20.399999999999999">
      <c r="F189" s="48"/>
    </row>
    <row r="190" spans="6:6" ht="20.399999999999999">
      <c r="F190" s="48"/>
    </row>
    <row r="191" spans="6:6" ht="20.399999999999999">
      <c r="F191" s="48"/>
    </row>
    <row r="192" spans="6:6" ht="20.399999999999999">
      <c r="F192" s="48"/>
    </row>
    <row r="193" spans="6:6" ht="20.399999999999999">
      <c r="F193" s="48"/>
    </row>
    <row r="194" spans="6:6" ht="20.399999999999999">
      <c r="F194" s="48"/>
    </row>
    <row r="195" spans="6:6" ht="20.399999999999999">
      <c r="F195" s="48"/>
    </row>
    <row r="196" spans="6:6" ht="20.399999999999999">
      <c r="F196" s="48"/>
    </row>
    <row r="197" spans="6:6" ht="20.399999999999999">
      <c r="F197" s="48"/>
    </row>
    <row r="198" spans="6:6" ht="20.399999999999999">
      <c r="F198" s="48"/>
    </row>
    <row r="199" spans="6:6" ht="20.399999999999999">
      <c r="F199" s="48"/>
    </row>
    <row r="200" spans="6:6" ht="20.399999999999999">
      <c r="F200" s="48"/>
    </row>
    <row r="201" spans="6:6" ht="20.399999999999999">
      <c r="F201" s="48"/>
    </row>
    <row r="202" spans="6:6" ht="20.399999999999999">
      <c r="F202" s="48"/>
    </row>
    <row r="203" spans="6:6" ht="20.399999999999999">
      <c r="F203" s="48"/>
    </row>
    <row r="204" spans="6:6" ht="20.399999999999999">
      <c r="F204" s="48"/>
    </row>
    <row r="205" spans="6:6" ht="20.399999999999999">
      <c r="F205" s="48"/>
    </row>
    <row r="206" spans="6:6" ht="20.399999999999999">
      <c r="F206" s="48"/>
    </row>
    <row r="207" spans="6:6" ht="20.399999999999999">
      <c r="F207" s="48"/>
    </row>
    <row r="208" spans="6:6" ht="20.399999999999999">
      <c r="F208" s="48"/>
    </row>
    <row r="209" spans="6:6" ht="20.399999999999999">
      <c r="F209" s="48"/>
    </row>
    <row r="210" spans="6:6" ht="20.399999999999999">
      <c r="F210" s="48"/>
    </row>
    <row r="211" spans="6:6" ht="20.399999999999999">
      <c r="F211" s="48"/>
    </row>
    <row r="212" spans="6:6" ht="20.399999999999999">
      <c r="F212" s="48"/>
    </row>
    <row r="213" spans="6:6" ht="20.399999999999999">
      <c r="F213" s="48"/>
    </row>
    <row r="214" spans="6:6" ht="20.399999999999999">
      <c r="F214" s="48"/>
    </row>
    <row r="215" spans="6:6" ht="20.399999999999999">
      <c r="F215" s="48"/>
    </row>
    <row r="216" spans="6:6" ht="20.399999999999999">
      <c r="F216" s="48"/>
    </row>
    <row r="217" spans="6:6" ht="20.399999999999999">
      <c r="F217" s="48"/>
    </row>
    <row r="218" spans="6:6" ht="20.399999999999999">
      <c r="F218" s="48"/>
    </row>
    <row r="219" spans="6:6" ht="20.399999999999999">
      <c r="F219" s="48"/>
    </row>
    <row r="220" spans="6:6" ht="20.399999999999999">
      <c r="F220" s="48"/>
    </row>
    <row r="221" spans="6:6" ht="20.399999999999999">
      <c r="F221" s="48"/>
    </row>
    <row r="222" spans="6:6" ht="20.399999999999999">
      <c r="F222" s="48"/>
    </row>
    <row r="223" spans="6:6" ht="20.399999999999999">
      <c r="F223" s="48"/>
    </row>
    <row r="224" spans="6:6" ht="20.399999999999999">
      <c r="F224" s="48"/>
    </row>
    <row r="225" spans="6:6" ht="20.399999999999999">
      <c r="F225" s="48"/>
    </row>
    <row r="226" spans="6:6" ht="20.399999999999999">
      <c r="F226" s="48"/>
    </row>
    <row r="227" spans="6:6" ht="20.399999999999999">
      <c r="F227" s="48"/>
    </row>
    <row r="228" spans="6:6" ht="20.399999999999999">
      <c r="F228" s="48"/>
    </row>
    <row r="229" spans="6:6" ht="20.399999999999999">
      <c r="F229" s="48"/>
    </row>
    <row r="230" spans="6:6" ht="20.399999999999999">
      <c r="F230" s="48"/>
    </row>
    <row r="231" spans="6:6" ht="20.399999999999999">
      <c r="F231" s="48"/>
    </row>
    <row r="232" spans="6:6" ht="20.399999999999999">
      <c r="F232" s="48"/>
    </row>
    <row r="233" spans="6:6" ht="20.399999999999999">
      <c r="F233" s="48"/>
    </row>
    <row r="234" spans="6:6" ht="20.399999999999999">
      <c r="F234" s="48"/>
    </row>
    <row r="235" spans="6:6" ht="20.399999999999999">
      <c r="F235" s="48"/>
    </row>
    <row r="236" spans="6:6" ht="20.399999999999999">
      <c r="F236" s="48"/>
    </row>
    <row r="237" spans="6:6" ht="20.399999999999999">
      <c r="F237" s="48"/>
    </row>
    <row r="238" spans="6:6" ht="20.399999999999999">
      <c r="F238" s="48"/>
    </row>
    <row r="239" spans="6:6" ht="20.399999999999999">
      <c r="F239" s="48"/>
    </row>
    <row r="240" spans="6:6" ht="20.399999999999999">
      <c r="F240" s="48"/>
    </row>
    <row r="241" spans="6:6" ht="20.399999999999999">
      <c r="F241" s="48"/>
    </row>
    <row r="242" spans="6:6" ht="20.399999999999999">
      <c r="F242" s="48"/>
    </row>
    <row r="243" spans="6:6" ht="20.399999999999999">
      <c r="F243" s="48"/>
    </row>
    <row r="244" spans="6:6" ht="20.399999999999999">
      <c r="F244" s="48"/>
    </row>
    <row r="245" spans="6:6" ht="20.399999999999999">
      <c r="F245" s="48"/>
    </row>
    <row r="246" spans="6:6" ht="20.399999999999999">
      <c r="F246" s="48"/>
    </row>
    <row r="247" spans="6:6" ht="20.399999999999999">
      <c r="F247" s="48"/>
    </row>
    <row r="248" spans="6:6" ht="20.399999999999999">
      <c r="F248" s="48"/>
    </row>
    <row r="249" spans="6:6" ht="20.399999999999999">
      <c r="F249" s="48"/>
    </row>
    <row r="250" spans="6:6" ht="20.399999999999999">
      <c r="F250" s="48"/>
    </row>
    <row r="251" spans="6:6" ht="20.399999999999999">
      <c r="F251" s="48"/>
    </row>
    <row r="252" spans="6:6" ht="20.399999999999999">
      <c r="F252" s="48"/>
    </row>
    <row r="253" spans="6:6" ht="20.399999999999999">
      <c r="F253" s="48"/>
    </row>
    <row r="254" spans="6:6" ht="20.399999999999999">
      <c r="F254" s="48"/>
    </row>
    <row r="255" spans="6:6" ht="20.399999999999999">
      <c r="F255" s="48"/>
    </row>
    <row r="256" spans="6:6" ht="20.399999999999999">
      <c r="F256" s="48"/>
    </row>
    <row r="257" spans="6:6" ht="20.399999999999999">
      <c r="F257" s="48"/>
    </row>
    <row r="258" spans="6:6" ht="20.399999999999999">
      <c r="F258" s="48"/>
    </row>
    <row r="259" spans="6:6" ht="20.399999999999999">
      <c r="F259" s="48"/>
    </row>
    <row r="260" spans="6:6" ht="20.399999999999999">
      <c r="F260" s="48"/>
    </row>
    <row r="261" spans="6:6" ht="20.399999999999999">
      <c r="F261" s="48"/>
    </row>
    <row r="262" spans="6:6" ht="20.399999999999999">
      <c r="F262" s="48"/>
    </row>
    <row r="263" spans="6:6" ht="20.399999999999999">
      <c r="F263" s="48"/>
    </row>
    <row r="264" spans="6:6" ht="20.399999999999999">
      <c r="F264" s="48"/>
    </row>
    <row r="265" spans="6:6" ht="20.399999999999999">
      <c r="F265" s="48"/>
    </row>
    <row r="266" spans="6:6" ht="20.399999999999999">
      <c r="F266" s="48"/>
    </row>
    <row r="267" spans="6:6" ht="20.399999999999999">
      <c r="F267" s="48"/>
    </row>
    <row r="268" spans="6:6" ht="20.399999999999999">
      <c r="F268" s="48"/>
    </row>
    <row r="269" spans="6:6" ht="20.399999999999999">
      <c r="F269" s="48"/>
    </row>
    <row r="270" spans="6:6" ht="20.399999999999999">
      <c r="F270" s="48"/>
    </row>
    <row r="271" spans="6:6" ht="20.399999999999999">
      <c r="F271" s="48"/>
    </row>
    <row r="272" spans="6:6" ht="20.399999999999999">
      <c r="F272" s="48"/>
    </row>
    <row r="273" spans="6:6" ht="20.399999999999999">
      <c r="F273" s="48"/>
    </row>
    <row r="274" spans="6:6" ht="20.399999999999999">
      <c r="F274" s="48"/>
    </row>
    <row r="275" spans="6:6" ht="20.399999999999999">
      <c r="F275" s="48"/>
    </row>
    <row r="276" spans="6:6" ht="20.399999999999999">
      <c r="F276" s="48"/>
    </row>
    <row r="277" spans="6:6" ht="20.399999999999999">
      <c r="F277" s="48"/>
    </row>
    <row r="278" spans="6:6" ht="20.399999999999999">
      <c r="F278" s="48"/>
    </row>
    <row r="279" spans="6:6" ht="20.399999999999999">
      <c r="F279" s="48"/>
    </row>
    <row r="280" spans="6:6" ht="20.399999999999999">
      <c r="F280" s="48"/>
    </row>
    <row r="281" spans="6:6" ht="20.399999999999999">
      <c r="F281" s="48"/>
    </row>
    <row r="282" spans="6:6" ht="20.399999999999999">
      <c r="F282" s="48"/>
    </row>
    <row r="283" spans="6:6" ht="20.399999999999999">
      <c r="F283" s="48"/>
    </row>
    <row r="284" spans="6:6" ht="20.399999999999999">
      <c r="F284" s="48"/>
    </row>
    <row r="285" spans="6:6" ht="20.399999999999999">
      <c r="F285" s="48"/>
    </row>
    <row r="286" spans="6:6" ht="20.399999999999999">
      <c r="F286" s="48"/>
    </row>
    <row r="287" spans="6:6" ht="20.399999999999999">
      <c r="F287" s="48"/>
    </row>
    <row r="288" spans="6:6" ht="20.399999999999999">
      <c r="F288" s="48"/>
    </row>
    <row r="289" spans="6:6" ht="20.399999999999999">
      <c r="F289" s="48"/>
    </row>
    <row r="290" spans="6:6" ht="20.399999999999999">
      <c r="F290" s="48"/>
    </row>
    <row r="291" spans="6:6" ht="20.399999999999999">
      <c r="F291" s="48"/>
    </row>
    <row r="292" spans="6:6" ht="20.399999999999999">
      <c r="F292" s="48"/>
    </row>
    <row r="293" spans="6:6" ht="20.399999999999999">
      <c r="F293" s="48"/>
    </row>
    <row r="294" spans="6:6" ht="20.399999999999999">
      <c r="F294" s="48"/>
    </row>
    <row r="295" spans="6:6" ht="20.399999999999999">
      <c r="F295" s="48"/>
    </row>
    <row r="296" spans="6:6" ht="20.399999999999999">
      <c r="F296" s="48"/>
    </row>
    <row r="297" spans="6:6" ht="20.399999999999999">
      <c r="F297" s="48"/>
    </row>
    <row r="298" spans="6:6" ht="20.399999999999999">
      <c r="F298" s="48"/>
    </row>
    <row r="299" spans="6:6" ht="20.399999999999999">
      <c r="F299" s="48"/>
    </row>
    <row r="300" spans="6:6" ht="20.399999999999999">
      <c r="F300" s="48"/>
    </row>
    <row r="301" spans="6:6" ht="20.399999999999999">
      <c r="F301" s="48"/>
    </row>
    <row r="302" spans="6:6" ht="20.399999999999999">
      <c r="F302" s="48"/>
    </row>
    <row r="303" spans="6:6" ht="20.399999999999999">
      <c r="F303" s="48"/>
    </row>
    <row r="304" spans="6:6" ht="20.399999999999999">
      <c r="F304" s="48"/>
    </row>
    <row r="305" spans="6:6" ht="20.399999999999999">
      <c r="F305" s="48"/>
    </row>
    <row r="306" spans="6:6" ht="20.399999999999999">
      <c r="F306" s="48"/>
    </row>
    <row r="307" spans="6:6" ht="20.399999999999999">
      <c r="F307" s="48"/>
    </row>
    <row r="308" spans="6:6" ht="20.399999999999999">
      <c r="F308" s="48"/>
    </row>
    <row r="309" spans="6:6" ht="20.399999999999999">
      <c r="F309" s="48"/>
    </row>
    <row r="310" spans="6:6" ht="20.399999999999999">
      <c r="F310" s="48"/>
    </row>
    <row r="311" spans="6:6" ht="20.399999999999999">
      <c r="F311" s="48"/>
    </row>
    <row r="312" spans="6:6" ht="20.399999999999999">
      <c r="F312" s="48"/>
    </row>
    <row r="313" spans="6:6" ht="20.399999999999999">
      <c r="F313" s="48"/>
    </row>
    <row r="314" spans="6:6" ht="20.399999999999999">
      <c r="F314" s="48"/>
    </row>
    <row r="315" spans="6:6" ht="20.399999999999999">
      <c r="F315" s="48"/>
    </row>
    <row r="316" spans="6:6" ht="20.399999999999999">
      <c r="F316" s="48"/>
    </row>
    <row r="317" spans="6:6" ht="20.399999999999999">
      <c r="F317" s="48"/>
    </row>
    <row r="318" spans="6:6" ht="20.399999999999999">
      <c r="F318" s="48"/>
    </row>
    <row r="319" spans="6:6" ht="20.399999999999999">
      <c r="F319" s="48"/>
    </row>
    <row r="320" spans="6:6" ht="20.399999999999999">
      <c r="F320" s="48"/>
    </row>
    <row r="321" spans="6:6" ht="20.399999999999999">
      <c r="F321" s="48"/>
    </row>
    <row r="322" spans="6:6" ht="20.399999999999999">
      <c r="F322" s="48"/>
    </row>
    <row r="323" spans="6:6" ht="20.399999999999999">
      <c r="F323" s="48"/>
    </row>
    <row r="324" spans="6:6" ht="20.399999999999999">
      <c r="F324" s="48"/>
    </row>
    <row r="325" spans="6:6" ht="20.399999999999999">
      <c r="F325" s="48"/>
    </row>
    <row r="326" spans="6:6" ht="20.399999999999999">
      <c r="F326" s="48"/>
    </row>
    <row r="327" spans="6:6" ht="20.399999999999999">
      <c r="F327" s="48"/>
    </row>
    <row r="328" spans="6:6" ht="20.399999999999999">
      <c r="F328" s="48"/>
    </row>
    <row r="329" spans="6:6" ht="20.399999999999999">
      <c r="F329" s="48"/>
    </row>
    <row r="330" spans="6:6" ht="20.399999999999999">
      <c r="F330" s="48"/>
    </row>
    <row r="331" spans="6:6" ht="20.399999999999999">
      <c r="F331" s="48"/>
    </row>
    <row r="332" spans="6:6" ht="20.399999999999999">
      <c r="F332" s="48"/>
    </row>
    <row r="333" spans="6:6" ht="20.399999999999999">
      <c r="F333" s="48"/>
    </row>
    <row r="334" spans="6:6" ht="20.399999999999999">
      <c r="F334" s="48"/>
    </row>
    <row r="335" spans="6:6" ht="20.399999999999999">
      <c r="F335" s="48"/>
    </row>
    <row r="336" spans="6:6" ht="20.399999999999999">
      <c r="F336" s="48"/>
    </row>
    <row r="337" spans="6:6" ht="20.399999999999999">
      <c r="F337" s="48"/>
    </row>
    <row r="338" spans="6:6" ht="20.399999999999999">
      <c r="F338" s="48"/>
    </row>
    <row r="339" spans="6:6" ht="20.399999999999999">
      <c r="F339" s="48"/>
    </row>
    <row r="340" spans="6:6" ht="20.399999999999999">
      <c r="F340" s="48"/>
    </row>
    <row r="341" spans="6:6" ht="20.399999999999999">
      <c r="F341" s="48"/>
    </row>
    <row r="342" spans="6:6" ht="20.399999999999999">
      <c r="F342" s="48"/>
    </row>
    <row r="343" spans="6:6" ht="20.399999999999999">
      <c r="F343" s="48"/>
    </row>
    <row r="344" spans="6:6" ht="20.399999999999999">
      <c r="F344" s="48"/>
    </row>
    <row r="345" spans="6:6" ht="20.399999999999999">
      <c r="F345" s="48"/>
    </row>
    <row r="346" spans="6:6" ht="20.399999999999999">
      <c r="F346" s="48"/>
    </row>
    <row r="347" spans="6:6" ht="20.399999999999999">
      <c r="F347" s="48"/>
    </row>
    <row r="348" spans="6:6" ht="20.399999999999999">
      <c r="F348" s="48"/>
    </row>
    <row r="349" spans="6:6" ht="20.399999999999999">
      <c r="F349" s="48"/>
    </row>
    <row r="350" spans="6:6" ht="20.399999999999999">
      <c r="F350" s="48"/>
    </row>
    <row r="351" spans="6:6" ht="20.399999999999999">
      <c r="F351" s="48"/>
    </row>
    <row r="352" spans="6:6" ht="20.399999999999999">
      <c r="F352" s="48"/>
    </row>
    <row r="353" spans="6:6" ht="20.399999999999999">
      <c r="F353" s="48"/>
    </row>
    <row r="354" spans="6:6" ht="20.399999999999999">
      <c r="F354" s="48"/>
    </row>
    <row r="355" spans="6:6" ht="20.399999999999999">
      <c r="F355" s="48"/>
    </row>
    <row r="356" spans="6:6" ht="20.399999999999999">
      <c r="F356" s="48"/>
    </row>
    <row r="357" spans="6:6" ht="20.399999999999999">
      <c r="F357" s="48"/>
    </row>
    <row r="358" spans="6:6" ht="20.399999999999999">
      <c r="F358" s="48"/>
    </row>
    <row r="359" spans="6:6" ht="20.399999999999999">
      <c r="F359" s="48"/>
    </row>
    <row r="360" spans="6:6" ht="20.399999999999999">
      <c r="F360" s="48"/>
    </row>
    <row r="361" spans="6:6" ht="20.399999999999999">
      <c r="F361" s="48"/>
    </row>
    <row r="362" spans="6:6" ht="20.399999999999999">
      <c r="F362" s="48"/>
    </row>
    <row r="363" spans="6:6" ht="20.399999999999999">
      <c r="F363" s="48"/>
    </row>
    <row r="364" spans="6:6" ht="20.399999999999999">
      <c r="F364" s="48"/>
    </row>
    <row r="365" spans="6:6" ht="20.399999999999999">
      <c r="F365" s="48"/>
    </row>
    <row r="366" spans="6:6" ht="20.399999999999999">
      <c r="F366" s="48"/>
    </row>
    <row r="367" spans="6:6" ht="20.399999999999999">
      <c r="F367" s="48"/>
    </row>
    <row r="368" spans="6:6" ht="20.399999999999999">
      <c r="F368" s="48"/>
    </row>
    <row r="369" spans="6:6" ht="20.399999999999999">
      <c r="F369" s="48"/>
    </row>
    <row r="370" spans="6:6" ht="20.399999999999999">
      <c r="F370" s="48"/>
    </row>
    <row r="371" spans="6:6" ht="20.399999999999999">
      <c r="F371" s="48"/>
    </row>
    <row r="372" spans="6:6" ht="20.399999999999999">
      <c r="F372" s="48"/>
    </row>
    <row r="373" spans="6:6" ht="20.399999999999999">
      <c r="F373" s="48"/>
    </row>
    <row r="374" spans="6:6" ht="20.399999999999999">
      <c r="F374" s="48"/>
    </row>
    <row r="375" spans="6:6" ht="20.399999999999999">
      <c r="F375" s="48"/>
    </row>
    <row r="376" spans="6:6" ht="20.399999999999999">
      <c r="F376" s="48"/>
    </row>
    <row r="377" spans="6:6" ht="20.399999999999999">
      <c r="F377" s="48"/>
    </row>
    <row r="378" spans="6:6" ht="20.399999999999999">
      <c r="F378" s="48"/>
    </row>
    <row r="379" spans="6:6" ht="20.399999999999999">
      <c r="F379" s="48"/>
    </row>
    <row r="380" spans="6:6" ht="20.399999999999999">
      <c r="F380" s="48"/>
    </row>
    <row r="381" spans="6:6" ht="20.399999999999999">
      <c r="F381" s="48"/>
    </row>
    <row r="382" spans="6:6" ht="20.399999999999999">
      <c r="F382" s="48"/>
    </row>
    <row r="383" spans="6:6" ht="20.399999999999999">
      <c r="F383" s="48"/>
    </row>
    <row r="384" spans="6:6" ht="20.399999999999999">
      <c r="F384" s="48"/>
    </row>
    <row r="385" spans="6:6" ht="20.399999999999999">
      <c r="F385" s="48"/>
    </row>
    <row r="386" spans="6:6" ht="20.399999999999999">
      <c r="F386" s="48"/>
    </row>
    <row r="387" spans="6:6" ht="20.399999999999999">
      <c r="F387" s="48"/>
    </row>
    <row r="388" spans="6:6" ht="20.399999999999999">
      <c r="F388" s="48"/>
    </row>
    <row r="389" spans="6:6" ht="20.399999999999999">
      <c r="F389" s="48"/>
    </row>
    <row r="390" spans="6:6" ht="20.399999999999999">
      <c r="F390" s="48"/>
    </row>
    <row r="391" spans="6:6" ht="20.399999999999999">
      <c r="F391" s="48"/>
    </row>
    <row r="392" spans="6:6" ht="20.399999999999999">
      <c r="F392" s="48"/>
    </row>
    <row r="393" spans="6:6" ht="20.399999999999999">
      <c r="F393" s="48"/>
    </row>
    <row r="394" spans="6:6" ht="20.399999999999999">
      <c r="F394" s="48"/>
    </row>
    <row r="395" spans="6:6" ht="20.399999999999999">
      <c r="F395" s="48"/>
    </row>
    <row r="396" spans="6:6" ht="20.399999999999999">
      <c r="F396" s="48"/>
    </row>
    <row r="397" spans="6:6" ht="20.399999999999999">
      <c r="F397" s="48"/>
    </row>
    <row r="398" spans="6:6" ht="20.399999999999999">
      <c r="F398" s="48"/>
    </row>
    <row r="399" spans="6:6" ht="20.399999999999999">
      <c r="F399" s="48"/>
    </row>
    <row r="400" spans="6:6" ht="20.399999999999999">
      <c r="F400" s="48"/>
    </row>
    <row r="401" spans="6:6" ht="20.399999999999999">
      <c r="F401" s="48"/>
    </row>
    <row r="402" spans="6:6" ht="20.399999999999999">
      <c r="F402" s="48"/>
    </row>
    <row r="403" spans="6:6" ht="20.399999999999999">
      <c r="F403" s="48"/>
    </row>
    <row r="404" spans="6:6" ht="20.399999999999999">
      <c r="F404" s="48"/>
    </row>
    <row r="405" spans="6:6" ht="20.399999999999999">
      <c r="F405" s="48"/>
    </row>
    <row r="406" spans="6:6" ht="20.399999999999999">
      <c r="F406" s="48"/>
    </row>
    <row r="407" spans="6:6" ht="20.399999999999999">
      <c r="F407" s="48"/>
    </row>
    <row r="408" spans="6:6" ht="20.399999999999999">
      <c r="F408" s="48"/>
    </row>
    <row r="409" spans="6:6" ht="20.399999999999999">
      <c r="F409" s="48"/>
    </row>
    <row r="410" spans="6:6" ht="20.399999999999999">
      <c r="F410" s="48"/>
    </row>
    <row r="411" spans="6:6" ht="20.399999999999999">
      <c r="F411" s="48"/>
    </row>
    <row r="412" spans="6:6" ht="20.399999999999999">
      <c r="F412" s="48"/>
    </row>
    <row r="413" spans="6:6" ht="20.399999999999999">
      <c r="F413" s="48"/>
    </row>
    <row r="414" spans="6:6" ht="20.399999999999999">
      <c r="F414" s="48"/>
    </row>
    <row r="415" spans="6:6" ht="20.399999999999999">
      <c r="F415" s="48"/>
    </row>
    <row r="416" spans="6:6" ht="20.399999999999999">
      <c r="F416" s="48"/>
    </row>
    <row r="417" spans="6:6" ht="20.399999999999999">
      <c r="F417" s="48"/>
    </row>
    <row r="418" spans="6:6" ht="20.399999999999999">
      <c r="F418" s="48"/>
    </row>
    <row r="419" spans="6:6" ht="20.399999999999999">
      <c r="F419" s="48"/>
    </row>
    <row r="420" spans="6:6" ht="20.399999999999999">
      <c r="F420" s="48"/>
    </row>
    <row r="421" spans="6:6" ht="20.399999999999999">
      <c r="F421" s="48"/>
    </row>
    <row r="422" spans="6:6" ht="20.399999999999999">
      <c r="F422" s="48"/>
    </row>
    <row r="423" spans="6:6" ht="20.399999999999999">
      <c r="F423" s="48"/>
    </row>
    <row r="424" spans="6:6" ht="20.399999999999999">
      <c r="F424" s="48"/>
    </row>
    <row r="425" spans="6:6" ht="20.399999999999999">
      <c r="F425" s="48"/>
    </row>
    <row r="426" spans="6:6" ht="20.399999999999999">
      <c r="F426" s="48"/>
    </row>
    <row r="427" spans="6:6" ht="20.399999999999999">
      <c r="F427" s="48"/>
    </row>
    <row r="428" spans="6:6" ht="20.399999999999999">
      <c r="F428" s="48"/>
    </row>
    <row r="429" spans="6:6" ht="20.399999999999999">
      <c r="F429" s="48"/>
    </row>
    <row r="430" spans="6:6" ht="20.399999999999999">
      <c r="F430" s="48"/>
    </row>
    <row r="431" spans="6:6" ht="20.399999999999999">
      <c r="F431" s="48"/>
    </row>
    <row r="432" spans="6:6" ht="20.399999999999999">
      <c r="F432" s="48"/>
    </row>
    <row r="433" spans="6:6" ht="20.399999999999999">
      <c r="F433" s="48"/>
    </row>
    <row r="434" spans="6:6" ht="20.399999999999999">
      <c r="F434" s="48"/>
    </row>
    <row r="435" spans="6:6" ht="20.399999999999999">
      <c r="F435" s="48"/>
    </row>
    <row r="436" spans="6:6" ht="20.399999999999999">
      <c r="F436" s="48"/>
    </row>
    <row r="437" spans="6:6" ht="20.399999999999999">
      <c r="F437" s="48"/>
    </row>
    <row r="438" spans="6:6" ht="20.399999999999999">
      <c r="F438" s="48"/>
    </row>
    <row r="439" spans="6:6" ht="20.399999999999999">
      <c r="F439" s="48"/>
    </row>
    <row r="440" spans="6:6" ht="20.399999999999999">
      <c r="F440" s="48"/>
    </row>
    <row r="441" spans="6:6" ht="20.399999999999999">
      <c r="F441" s="48"/>
    </row>
    <row r="442" spans="6:6" ht="20.399999999999999">
      <c r="F442" s="48"/>
    </row>
    <row r="443" spans="6:6" ht="20.399999999999999">
      <c r="F443" s="48"/>
    </row>
    <row r="444" spans="6:6" ht="20.399999999999999">
      <c r="F444" s="48"/>
    </row>
    <row r="445" spans="6:6" ht="20.399999999999999">
      <c r="F445" s="48"/>
    </row>
    <row r="446" spans="6:6" ht="20.399999999999999">
      <c r="F446" s="48"/>
    </row>
    <row r="447" spans="6:6" ht="20.399999999999999">
      <c r="F447" s="48"/>
    </row>
    <row r="448" spans="6:6" ht="20.399999999999999">
      <c r="F448" s="48"/>
    </row>
    <row r="449" spans="6:6" ht="20.399999999999999">
      <c r="F449" s="48"/>
    </row>
    <row r="450" spans="6:6" ht="20.399999999999999">
      <c r="F450" s="48"/>
    </row>
    <row r="451" spans="6:6" ht="20.399999999999999">
      <c r="F451" s="48"/>
    </row>
    <row r="452" spans="6:6" ht="20.399999999999999">
      <c r="F452" s="48"/>
    </row>
    <row r="453" spans="6:6" ht="20.399999999999999">
      <c r="F453" s="48"/>
    </row>
    <row r="454" spans="6:6" ht="20.399999999999999">
      <c r="F454" s="48"/>
    </row>
    <row r="455" spans="6:6" ht="20.399999999999999">
      <c r="F455" s="48"/>
    </row>
    <row r="456" spans="6:6" ht="20.399999999999999">
      <c r="F456" s="48"/>
    </row>
    <row r="457" spans="6:6" ht="20.399999999999999">
      <c r="F457" s="48"/>
    </row>
    <row r="458" spans="6:6" ht="20.399999999999999">
      <c r="F458" s="48"/>
    </row>
    <row r="459" spans="6:6" ht="20.399999999999999">
      <c r="F459" s="48"/>
    </row>
    <row r="460" spans="6:6" ht="20.399999999999999">
      <c r="F460" s="48"/>
    </row>
    <row r="461" spans="6:6" ht="20.399999999999999">
      <c r="F461" s="48"/>
    </row>
    <row r="462" spans="6:6" ht="20.399999999999999">
      <c r="F462" s="48"/>
    </row>
    <row r="463" spans="6:6" ht="20.399999999999999">
      <c r="F463" s="48"/>
    </row>
    <row r="464" spans="6:6" ht="20.399999999999999">
      <c r="F464" s="48"/>
    </row>
    <row r="465" spans="6:6" ht="20.399999999999999">
      <c r="F465" s="48"/>
    </row>
    <row r="466" spans="6:6" ht="20.399999999999999">
      <c r="F466" s="48"/>
    </row>
    <row r="467" spans="6:6" ht="20.399999999999999">
      <c r="F467" s="48"/>
    </row>
    <row r="468" spans="6:6" ht="20.399999999999999">
      <c r="F468" s="48"/>
    </row>
    <row r="469" spans="6:6" ht="20.399999999999999">
      <c r="F469" s="48"/>
    </row>
    <row r="470" spans="6:6" ht="20.399999999999999">
      <c r="F470" s="48"/>
    </row>
    <row r="471" spans="6:6" ht="20.399999999999999">
      <c r="F471" s="48"/>
    </row>
    <row r="472" spans="6:6" ht="20.399999999999999">
      <c r="F472" s="48"/>
    </row>
    <row r="473" spans="6:6" ht="20.399999999999999">
      <c r="F473" s="48"/>
    </row>
    <row r="474" spans="6:6" ht="20.399999999999999">
      <c r="F474" s="48"/>
    </row>
    <row r="475" spans="6:6" ht="20.399999999999999">
      <c r="F475" s="48"/>
    </row>
    <row r="476" spans="6:6" ht="20.399999999999999">
      <c r="F476" s="48"/>
    </row>
    <row r="477" spans="6:6" ht="20.399999999999999">
      <c r="F477" s="48"/>
    </row>
    <row r="478" spans="6:6" ht="20.399999999999999">
      <c r="F478" s="48"/>
    </row>
    <row r="479" spans="6:6" ht="20.399999999999999">
      <c r="F479" s="48"/>
    </row>
    <row r="480" spans="6:6" ht="20.399999999999999">
      <c r="F480" s="48"/>
    </row>
    <row r="481" spans="6:6" ht="20.399999999999999">
      <c r="F481" s="48"/>
    </row>
    <row r="482" spans="6:6" ht="20.399999999999999">
      <c r="F482" s="48"/>
    </row>
    <row r="483" spans="6:6" ht="20.399999999999999">
      <c r="F483" s="48"/>
    </row>
    <row r="484" spans="6:6" ht="20.399999999999999">
      <c r="F484" s="48"/>
    </row>
    <row r="485" spans="6:6" ht="20.399999999999999">
      <c r="F485" s="48"/>
    </row>
    <row r="486" spans="6:6" ht="20.399999999999999">
      <c r="F486" s="48"/>
    </row>
    <row r="487" spans="6:6" ht="20.399999999999999">
      <c r="F487" s="48"/>
    </row>
    <row r="488" spans="6:6" ht="20.399999999999999">
      <c r="F488" s="48"/>
    </row>
    <row r="489" spans="6:6" ht="20.399999999999999">
      <c r="F489" s="48"/>
    </row>
    <row r="490" spans="6:6" ht="20.399999999999999">
      <c r="F490" s="48"/>
    </row>
    <row r="491" spans="6:6" ht="20.399999999999999">
      <c r="F491" s="48"/>
    </row>
    <row r="492" spans="6:6" ht="20.399999999999999">
      <c r="F492" s="48"/>
    </row>
    <row r="493" spans="6:6" ht="20.399999999999999">
      <c r="F493" s="48"/>
    </row>
    <row r="494" spans="6:6" ht="20.399999999999999">
      <c r="F494" s="48"/>
    </row>
    <row r="495" spans="6:6" ht="20.399999999999999">
      <c r="F495" s="48"/>
    </row>
    <row r="496" spans="6:6" ht="20.399999999999999">
      <c r="F496" s="48"/>
    </row>
    <row r="497" spans="6:6" ht="20.399999999999999">
      <c r="F497" s="48"/>
    </row>
    <row r="498" spans="6:6" ht="20.399999999999999">
      <c r="F498" s="48"/>
    </row>
    <row r="499" spans="6:6" ht="20.399999999999999">
      <c r="F499" s="48"/>
    </row>
    <row r="500" spans="6:6" ht="20.399999999999999">
      <c r="F500" s="48"/>
    </row>
    <row r="501" spans="6:6" ht="20.399999999999999">
      <c r="F501" s="48"/>
    </row>
    <row r="502" spans="6:6" ht="20.399999999999999">
      <c r="F502" s="48"/>
    </row>
    <row r="503" spans="6:6" ht="20.399999999999999">
      <c r="F503" s="48"/>
    </row>
    <row r="504" spans="6:6" ht="20.399999999999999">
      <c r="F504" s="48"/>
    </row>
    <row r="505" spans="6:6" ht="20.399999999999999">
      <c r="F505" s="48"/>
    </row>
    <row r="506" spans="6:6" ht="20.399999999999999">
      <c r="F506" s="48"/>
    </row>
    <row r="507" spans="6:6" ht="20.399999999999999">
      <c r="F507" s="48"/>
    </row>
    <row r="508" spans="6:6" ht="20.399999999999999">
      <c r="F508" s="48"/>
    </row>
    <row r="509" spans="6:6" ht="20.399999999999999">
      <c r="F509" s="48"/>
    </row>
    <row r="510" spans="6:6" ht="20.399999999999999">
      <c r="F510" s="48"/>
    </row>
    <row r="511" spans="6:6" ht="20.399999999999999">
      <c r="F511" s="48"/>
    </row>
    <row r="512" spans="6:6" ht="20.399999999999999">
      <c r="F512" s="48"/>
    </row>
    <row r="513" spans="6:6" ht="20.399999999999999">
      <c r="F513" s="48"/>
    </row>
    <row r="514" spans="6:6" ht="20.399999999999999">
      <c r="F514" s="48"/>
    </row>
    <row r="515" spans="6:6" ht="20.399999999999999">
      <c r="F515" s="48"/>
    </row>
    <row r="516" spans="6:6" ht="20.399999999999999">
      <c r="F516" s="48"/>
    </row>
    <row r="517" spans="6:6" ht="20.399999999999999">
      <c r="F517" s="48"/>
    </row>
    <row r="518" spans="6:6" ht="20.399999999999999">
      <c r="F518" s="48"/>
    </row>
    <row r="519" spans="6:6" ht="20.399999999999999">
      <c r="F519" s="48"/>
    </row>
    <row r="520" spans="6:6" ht="20.399999999999999">
      <c r="F520" s="48"/>
    </row>
    <row r="521" spans="6:6" ht="20.399999999999999">
      <c r="F521" s="48"/>
    </row>
    <row r="522" spans="6:6" ht="20.399999999999999">
      <c r="F522" s="48"/>
    </row>
    <row r="523" spans="6:6" ht="20.399999999999999">
      <c r="F523" s="48"/>
    </row>
    <row r="524" spans="6:6" ht="20.399999999999999">
      <c r="F524" s="48"/>
    </row>
    <row r="525" spans="6:6" ht="20.399999999999999">
      <c r="F525" s="48"/>
    </row>
    <row r="526" spans="6:6" ht="20.399999999999999">
      <c r="F526" s="48"/>
    </row>
    <row r="527" spans="6:6" ht="20.399999999999999">
      <c r="F527" s="48"/>
    </row>
    <row r="528" spans="6:6" ht="20.399999999999999">
      <c r="F528" s="48"/>
    </row>
    <row r="529" spans="6:6" ht="20.399999999999999">
      <c r="F529" s="48"/>
    </row>
    <row r="530" spans="6:6" ht="20.399999999999999">
      <c r="F530" s="48"/>
    </row>
    <row r="531" spans="6:6" ht="20.399999999999999">
      <c r="F531" s="48"/>
    </row>
    <row r="532" spans="6:6" ht="20.399999999999999">
      <c r="F532" s="48"/>
    </row>
    <row r="533" spans="6:6" ht="20.399999999999999">
      <c r="F533" s="48"/>
    </row>
    <row r="534" spans="6:6" ht="20.399999999999999">
      <c r="F534" s="48"/>
    </row>
    <row r="535" spans="6:6" ht="20.399999999999999">
      <c r="F535" s="48"/>
    </row>
    <row r="536" spans="6:6" ht="20.399999999999999">
      <c r="F536" s="48"/>
    </row>
    <row r="537" spans="6:6" ht="20.399999999999999">
      <c r="F537" s="48"/>
    </row>
    <row r="538" spans="6:6" ht="20.399999999999999">
      <c r="F538" s="48"/>
    </row>
    <row r="539" spans="6:6" ht="20.399999999999999">
      <c r="F539" s="48"/>
    </row>
    <row r="540" spans="6:6" ht="20.399999999999999">
      <c r="F540" s="48"/>
    </row>
    <row r="541" spans="6:6" ht="20.399999999999999">
      <c r="F541" s="48"/>
    </row>
    <row r="542" spans="6:6" ht="20.399999999999999">
      <c r="F542" s="48"/>
    </row>
    <row r="543" spans="6:6" ht="20.399999999999999">
      <c r="F543" s="48"/>
    </row>
    <row r="544" spans="6:6" ht="20.399999999999999">
      <c r="F544" s="48"/>
    </row>
    <row r="545" spans="6:6" ht="20.399999999999999">
      <c r="F545" s="48"/>
    </row>
    <row r="546" spans="6:6" ht="20.399999999999999">
      <c r="F546" s="48"/>
    </row>
    <row r="547" spans="6:6" ht="20.399999999999999">
      <c r="F547" s="48"/>
    </row>
    <row r="548" spans="6:6" ht="20.399999999999999">
      <c r="F548" s="48"/>
    </row>
    <row r="549" spans="6:6" ht="20.399999999999999">
      <c r="F549" s="48"/>
    </row>
    <row r="550" spans="6:6" ht="20.399999999999999">
      <c r="F550" s="48"/>
    </row>
    <row r="551" spans="6:6" ht="20.399999999999999">
      <c r="F551" s="48"/>
    </row>
    <row r="552" spans="6:6" ht="20.399999999999999">
      <c r="F552" s="48"/>
    </row>
    <row r="553" spans="6:6" ht="20.399999999999999">
      <c r="F553" s="48"/>
    </row>
    <row r="554" spans="6:6" ht="20.399999999999999">
      <c r="F554" s="48"/>
    </row>
    <row r="555" spans="6:6" ht="20.399999999999999">
      <c r="F555" s="48"/>
    </row>
    <row r="556" spans="6:6" ht="20.399999999999999">
      <c r="F556" s="48"/>
    </row>
    <row r="557" spans="6:6" ht="20.399999999999999">
      <c r="F557" s="48"/>
    </row>
    <row r="558" spans="6:6" ht="20.399999999999999">
      <c r="F558" s="48"/>
    </row>
    <row r="559" spans="6:6" ht="20.399999999999999">
      <c r="F559" s="48"/>
    </row>
    <row r="560" spans="6:6" ht="20.399999999999999">
      <c r="F560" s="48"/>
    </row>
    <row r="561" spans="6:6" ht="20.399999999999999">
      <c r="F561" s="48"/>
    </row>
    <row r="562" spans="6:6" ht="20.399999999999999">
      <c r="F562" s="48"/>
    </row>
    <row r="563" spans="6:6" ht="20.399999999999999">
      <c r="F563" s="48"/>
    </row>
    <row r="564" spans="6:6" ht="20.399999999999999">
      <c r="F564" s="48"/>
    </row>
    <row r="565" spans="6:6" ht="20.399999999999999">
      <c r="F565" s="48"/>
    </row>
    <row r="566" spans="6:6" ht="20.399999999999999">
      <c r="F566" s="48"/>
    </row>
    <row r="567" spans="6:6" ht="20.399999999999999">
      <c r="F567" s="48"/>
    </row>
    <row r="568" spans="6:6" ht="20.399999999999999">
      <c r="F568" s="48"/>
    </row>
    <row r="569" spans="6:6" ht="20.399999999999999">
      <c r="F569" s="48"/>
    </row>
    <row r="570" spans="6:6" ht="20.399999999999999">
      <c r="F570" s="48"/>
    </row>
    <row r="571" spans="6:6" ht="20.399999999999999">
      <c r="F571" s="48"/>
    </row>
    <row r="572" spans="6:6" ht="20.399999999999999">
      <c r="F572" s="48"/>
    </row>
    <row r="573" spans="6:6" ht="20.399999999999999">
      <c r="F573" s="48"/>
    </row>
    <row r="574" spans="6:6" ht="20.399999999999999">
      <c r="F574" s="48"/>
    </row>
    <row r="575" spans="6:6" ht="20.399999999999999">
      <c r="F575" s="48"/>
    </row>
    <row r="576" spans="6:6" ht="20.399999999999999">
      <c r="F576" s="48"/>
    </row>
    <row r="577" spans="6:6" ht="20.399999999999999">
      <c r="F577" s="48"/>
    </row>
    <row r="578" spans="6:6" ht="20.399999999999999">
      <c r="F578" s="48"/>
    </row>
    <row r="579" spans="6:6" ht="20.399999999999999">
      <c r="F579" s="48"/>
    </row>
    <row r="580" spans="6:6" ht="20.399999999999999">
      <c r="F580" s="48"/>
    </row>
    <row r="581" spans="6:6" ht="20.399999999999999">
      <c r="F581" s="48"/>
    </row>
    <row r="582" spans="6:6" ht="20.399999999999999">
      <c r="F582" s="48"/>
    </row>
    <row r="583" spans="6:6" ht="20.399999999999999">
      <c r="F583" s="48"/>
    </row>
    <row r="584" spans="6:6" ht="20.399999999999999">
      <c r="F584" s="48"/>
    </row>
    <row r="585" spans="6:6" ht="20.399999999999999">
      <c r="F585" s="48"/>
    </row>
    <row r="586" spans="6:6" ht="20.399999999999999">
      <c r="F586" s="48"/>
    </row>
    <row r="587" spans="6:6" ht="20.399999999999999">
      <c r="F587" s="48"/>
    </row>
    <row r="588" spans="6:6" ht="20.399999999999999">
      <c r="F588" s="48"/>
    </row>
    <row r="589" spans="6:6" ht="20.399999999999999">
      <c r="F589" s="48"/>
    </row>
    <row r="590" spans="6:6" ht="20.399999999999999">
      <c r="F590" s="48"/>
    </row>
    <row r="591" spans="6:6" ht="20.399999999999999">
      <c r="F591" s="48"/>
    </row>
    <row r="592" spans="6:6" ht="20.399999999999999">
      <c r="F592" s="48"/>
    </row>
    <row r="593" spans="6:6" ht="20.399999999999999">
      <c r="F593" s="48"/>
    </row>
    <row r="594" spans="6:6" ht="20.399999999999999">
      <c r="F594" s="48"/>
    </row>
    <row r="595" spans="6:6" ht="20.399999999999999">
      <c r="F595" s="48"/>
    </row>
    <row r="596" spans="6:6" ht="20.399999999999999">
      <c r="F596" s="48"/>
    </row>
    <row r="597" spans="6:6" ht="20.399999999999999">
      <c r="F597" s="48"/>
    </row>
    <row r="598" spans="6:6" ht="20.399999999999999">
      <c r="F598" s="48"/>
    </row>
    <row r="599" spans="6:6" ht="20.399999999999999">
      <c r="F599" s="48"/>
    </row>
    <row r="600" spans="6:6" ht="20.399999999999999">
      <c r="F600" s="48"/>
    </row>
    <row r="601" spans="6:6" ht="20.399999999999999">
      <c r="F601" s="48"/>
    </row>
    <row r="602" spans="6:6" ht="20.399999999999999">
      <c r="F602" s="48"/>
    </row>
    <row r="603" spans="6:6" ht="20.399999999999999">
      <c r="F603" s="48"/>
    </row>
    <row r="604" spans="6:6" ht="20.399999999999999">
      <c r="F604" s="48"/>
    </row>
    <row r="605" spans="6:6" ht="20.399999999999999">
      <c r="F605" s="48"/>
    </row>
    <row r="606" spans="6:6" ht="20.399999999999999">
      <c r="F606" s="48"/>
    </row>
    <row r="607" spans="6:6" ht="20.399999999999999">
      <c r="F607" s="48"/>
    </row>
    <row r="608" spans="6:6" ht="20.399999999999999">
      <c r="F608" s="48"/>
    </row>
    <row r="609" spans="6:6" ht="20.399999999999999">
      <c r="F609" s="48"/>
    </row>
    <row r="610" spans="6:6" ht="20.399999999999999">
      <c r="F610" s="48"/>
    </row>
    <row r="611" spans="6:6" ht="20.399999999999999">
      <c r="F611" s="48"/>
    </row>
    <row r="612" spans="6:6" ht="20.399999999999999">
      <c r="F612" s="48"/>
    </row>
    <row r="613" spans="6:6" ht="20.399999999999999">
      <c r="F613" s="48"/>
    </row>
    <row r="614" spans="6:6" ht="20.399999999999999">
      <c r="F614" s="48"/>
    </row>
    <row r="615" spans="6:6" ht="20.399999999999999">
      <c r="F615" s="48"/>
    </row>
    <row r="616" spans="6:6" ht="20.399999999999999">
      <c r="F616" s="48"/>
    </row>
    <row r="617" spans="6:6" ht="20.399999999999999">
      <c r="F617" s="48"/>
    </row>
    <row r="618" spans="6:6" ht="20.399999999999999">
      <c r="F618" s="48"/>
    </row>
    <row r="619" spans="6:6" ht="20.399999999999999">
      <c r="F619" s="48"/>
    </row>
    <row r="620" spans="6:6" ht="20.399999999999999">
      <c r="F620" s="48"/>
    </row>
    <row r="621" spans="6:6" ht="20.399999999999999">
      <c r="F621" s="48"/>
    </row>
    <row r="622" spans="6:6" ht="20.399999999999999">
      <c r="F622" s="48"/>
    </row>
    <row r="623" spans="6:6" ht="20.399999999999999">
      <c r="F623" s="48"/>
    </row>
    <row r="624" spans="6:6" ht="20.399999999999999">
      <c r="F624" s="48"/>
    </row>
    <row r="625" spans="6:6" ht="20.399999999999999">
      <c r="F625" s="48"/>
    </row>
    <row r="626" spans="6:6" ht="20.399999999999999">
      <c r="F626" s="48"/>
    </row>
    <row r="627" spans="6:6" ht="20.399999999999999">
      <c r="F627" s="48"/>
    </row>
    <row r="628" spans="6:6" ht="20.399999999999999">
      <c r="F628" s="48"/>
    </row>
    <row r="629" spans="6:6" ht="20.399999999999999">
      <c r="F629" s="48"/>
    </row>
    <row r="630" spans="6:6" ht="20.399999999999999">
      <c r="F630" s="48"/>
    </row>
    <row r="631" spans="6:6" ht="20.399999999999999">
      <c r="F631" s="48"/>
    </row>
    <row r="632" spans="6:6" ht="20.399999999999999">
      <c r="F632" s="48"/>
    </row>
    <row r="633" spans="6:6" ht="20.399999999999999">
      <c r="F633" s="48"/>
    </row>
    <row r="634" spans="6:6" ht="20.399999999999999">
      <c r="F634" s="48"/>
    </row>
    <row r="635" spans="6:6" ht="20.399999999999999">
      <c r="F635" s="48"/>
    </row>
    <row r="636" spans="6:6" ht="20.399999999999999">
      <c r="F636" s="48"/>
    </row>
    <row r="637" spans="6:6" ht="20.399999999999999">
      <c r="F637" s="48"/>
    </row>
    <row r="638" spans="6:6" ht="20.399999999999999">
      <c r="F638" s="48"/>
    </row>
    <row r="639" spans="6:6" ht="20.399999999999999">
      <c r="F639" s="48"/>
    </row>
    <row r="640" spans="6:6" ht="20.399999999999999">
      <c r="F640" s="48"/>
    </row>
    <row r="641" spans="6:6" ht="20.399999999999999">
      <c r="F641" s="48"/>
    </row>
    <row r="642" spans="6:6" ht="20.399999999999999">
      <c r="F642" s="48"/>
    </row>
    <row r="643" spans="6:6" ht="20.399999999999999">
      <c r="F643" s="48"/>
    </row>
    <row r="644" spans="6:6" ht="20.399999999999999">
      <c r="F644" s="48"/>
    </row>
    <row r="645" spans="6:6" ht="20.399999999999999">
      <c r="F645" s="48"/>
    </row>
    <row r="646" spans="6:6" ht="20.399999999999999">
      <c r="F646" s="48"/>
    </row>
    <row r="647" spans="6:6" ht="20.399999999999999">
      <c r="F647" s="48"/>
    </row>
    <row r="648" spans="6:6" ht="20.399999999999999">
      <c r="F648" s="48"/>
    </row>
    <row r="649" spans="6:6" ht="20.399999999999999">
      <c r="F649" s="48"/>
    </row>
    <row r="650" spans="6:6" ht="20.399999999999999">
      <c r="F650" s="48"/>
    </row>
    <row r="651" spans="6:6" ht="20.399999999999999">
      <c r="F651" s="48"/>
    </row>
    <row r="652" spans="6:6" ht="20.399999999999999">
      <c r="F652" s="48"/>
    </row>
    <row r="653" spans="6:6" ht="20.399999999999999">
      <c r="F653" s="48"/>
    </row>
    <row r="654" spans="6:6" ht="20.399999999999999">
      <c r="F654" s="48"/>
    </row>
    <row r="655" spans="6:6" ht="20.399999999999999">
      <c r="F655" s="48"/>
    </row>
    <row r="656" spans="6:6" ht="20.399999999999999">
      <c r="F656" s="48"/>
    </row>
    <row r="657" spans="6:6" ht="20.399999999999999">
      <c r="F657" s="48"/>
    </row>
    <row r="658" spans="6:6" ht="20.399999999999999">
      <c r="F658" s="48"/>
    </row>
    <row r="659" spans="6:6" ht="20.399999999999999">
      <c r="F659" s="48"/>
    </row>
    <row r="660" spans="6:6" ht="20.399999999999999">
      <c r="F660" s="48"/>
    </row>
    <row r="661" spans="6:6" ht="20.399999999999999">
      <c r="F661" s="48"/>
    </row>
    <row r="662" spans="6:6" ht="20.399999999999999">
      <c r="F662" s="48"/>
    </row>
    <row r="663" spans="6:6" ht="20.399999999999999">
      <c r="F663" s="48"/>
    </row>
    <row r="664" spans="6:6" ht="20.399999999999999">
      <c r="F664" s="48"/>
    </row>
    <row r="665" spans="6:6" ht="20.399999999999999">
      <c r="F665" s="48"/>
    </row>
    <row r="666" spans="6:6" ht="20.399999999999999">
      <c r="F666" s="48"/>
    </row>
    <row r="667" spans="6:6" ht="20.399999999999999">
      <c r="F667" s="48"/>
    </row>
    <row r="668" spans="6:6" ht="20.399999999999999">
      <c r="F668" s="48"/>
    </row>
    <row r="669" spans="6:6" ht="20.399999999999999">
      <c r="F669" s="48"/>
    </row>
    <row r="670" spans="6:6" ht="20.399999999999999">
      <c r="F670" s="48"/>
    </row>
    <row r="671" spans="6:6" ht="20.399999999999999">
      <c r="F671" s="48"/>
    </row>
    <row r="672" spans="6:6" ht="20.399999999999999">
      <c r="F672" s="48"/>
    </row>
    <row r="673" spans="6:6" ht="20.399999999999999">
      <c r="F673" s="48"/>
    </row>
    <row r="674" spans="6:6" ht="20.399999999999999">
      <c r="F674" s="48"/>
    </row>
    <row r="675" spans="6:6" ht="20.399999999999999">
      <c r="F675" s="48"/>
    </row>
    <row r="676" spans="6:6" ht="20.399999999999999">
      <c r="F676" s="48"/>
    </row>
    <row r="677" spans="6:6" ht="20.399999999999999">
      <c r="F677" s="48"/>
    </row>
    <row r="678" spans="6:6" ht="20.399999999999999">
      <c r="F678" s="48"/>
    </row>
    <row r="679" spans="6:6" ht="20.399999999999999">
      <c r="F679" s="48"/>
    </row>
    <row r="680" spans="6:6" ht="20.399999999999999">
      <c r="F680" s="48"/>
    </row>
    <row r="681" spans="6:6" ht="20.399999999999999">
      <c r="F681" s="48"/>
    </row>
    <row r="682" spans="6:6" ht="20.399999999999999">
      <c r="F682" s="48"/>
    </row>
    <row r="683" spans="6:6" ht="20.399999999999999">
      <c r="F683" s="48"/>
    </row>
    <row r="684" spans="6:6" ht="20.399999999999999">
      <c r="F684" s="48"/>
    </row>
    <row r="685" spans="6:6" ht="20.399999999999999">
      <c r="F685" s="48"/>
    </row>
    <row r="686" spans="6:6" ht="20.399999999999999">
      <c r="F686" s="48"/>
    </row>
    <row r="687" spans="6:6" ht="20.399999999999999">
      <c r="F687" s="48"/>
    </row>
    <row r="688" spans="6:6" ht="20.399999999999999">
      <c r="F688" s="48"/>
    </row>
    <row r="689" spans="6:6" ht="20.399999999999999">
      <c r="F689" s="48"/>
    </row>
    <row r="690" spans="6:6" ht="20.399999999999999">
      <c r="F690" s="48"/>
    </row>
    <row r="691" spans="6:6" ht="20.399999999999999">
      <c r="F691" s="48"/>
    </row>
    <row r="692" spans="6:6" ht="20.399999999999999">
      <c r="F692" s="48"/>
    </row>
    <row r="693" spans="6:6" ht="20.399999999999999">
      <c r="F693" s="48"/>
    </row>
    <row r="694" spans="6:6" ht="20.399999999999999">
      <c r="F694" s="48"/>
    </row>
    <row r="695" spans="6:6" ht="20.399999999999999">
      <c r="F695" s="48"/>
    </row>
    <row r="696" spans="6:6" ht="20.399999999999999">
      <c r="F696" s="48"/>
    </row>
    <row r="697" spans="6:6" ht="20.399999999999999">
      <c r="F697" s="48"/>
    </row>
    <row r="698" spans="6:6" ht="20.399999999999999">
      <c r="F698" s="48"/>
    </row>
    <row r="699" spans="6:6" ht="20.399999999999999">
      <c r="F699" s="48"/>
    </row>
    <row r="700" spans="6:6" ht="20.399999999999999">
      <c r="F700" s="48"/>
    </row>
    <row r="701" spans="6:6" ht="20.399999999999999">
      <c r="F701" s="48"/>
    </row>
    <row r="702" spans="6:6" ht="20.399999999999999">
      <c r="F702" s="48"/>
    </row>
    <row r="703" spans="6:6" ht="20.399999999999999">
      <c r="F703" s="48"/>
    </row>
    <row r="704" spans="6:6" ht="20.399999999999999">
      <c r="F704" s="48"/>
    </row>
    <row r="705" spans="6:6" ht="20.399999999999999">
      <c r="F705" s="48"/>
    </row>
    <row r="706" spans="6:6" ht="20.399999999999999">
      <c r="F706" s="48"/>
    </row>
    <row r="707" spans="6:6" ht="20.399999999999999">
      <c r="F707" s="48"/>
    </row>
    <row r="708" spans="6:6" ht="20.399999999999999">
      <c r="F708" s="48"/>
    </row>
    <row r="709" spans="6:6" ht="20.399999999999999">
      <c r="F709" s="48"/>
    </row>
    <row r="710" spans="6:6" ht="20.399999999999999">
      <c r="F710" s="48"/>
    </row>
    <row r="711" spans="6:6" ht="20.399999999999999">
      <c r="F711" s="48"/>
    </row>
    <row r="712" spans="6:6" ht="20.399999999999999">
      <c r="F712" s="48"/>
    </row>
    <row r="713" spans="6:6" ht="20.399999999999999">
      <c r="F713" s="48"/>
    </row>
    <row r="714" spans="6:6" ht="20.399999999999999">
      <c r="F714" s="48"/>
    </row>
    <row r="715" spans="6:6" ht="20.399999999999999">
      <c r="F715" s="48"/>
    </row>
    <row r="716" spans="6:6" ht="20.399999999999999">
      <c r="F716" s="48"/>
    </row>
    <row r="717" spans="6:6" ht="20.399999999999999">
      <c r="F717" s="48"/>
    </row>
    <row r="718" spans="6:6" ht="20.399999999999999">
      <c r="F718" s="48"/>
    </row>
    <row r="719" spans="6:6" ht="20.399999999999999">
      <c r="F719" s="48"/>
    </row>
    <row r="720" spans="6:6" ht="20.399999999999999">
      <c r="F720" s="48"/>
    </row>
    <row r="721" spans="6:6" ht="20.399999999999999">
      <c r="F721" s="48"/>
    </row>
    <row r="722" spans="6:6" ht="20.399999999999999">
      <c r="F722" s="48"/>
    </row>
    <row r="723" spans="6:6" ht="20.399999999999999">
      <c r="F723" s="48"/>
    </row>
    <row r="724" spans="6:6" ht="20.399999999999999">
      <c r="F724" s="48"/>
    </row>
    <row r="725" spans="6:6" ht="20.399999999999999">
      <c r="F725" s="48"/>
    </row>
    <row r="726" spans="6:6" ht="20.399999999999999">
      <c r="F726" s="48"/>
    </row>
    <row r="727" spans="6:6" ht="20.399999999999999">
      <c r="F727" s="48"/>
    </row>
    <row r="728" spans="6:6" ht="20.399999999999999">
      <c r="F728" s="48"/>
    </row>
    <row r="729" spans="6:6" ht="20.399999999999999">
      <c r="F729" s="48"/>
    </row>
    <row r="730" spans="6:6" ht="20.399999999999999">
      <c r="F730" s="48"/>
    </row>
    <row r="731" spans="6:6" ht="20.399999999999999">
      <c r="F731" s="48"/>
    </row>
    <row r="732" spans="6:6" ht="20.399999999999999">
      <c r="F732" s="48"/>
    </row>
    <row r="733" spans="6:6" ht="20.399999999999999">
      <c r="F733" s="48"/>
    </row>
    <row r="734" spans="6:6" ht="20.399999999999999">
      <c r="F734" s="48"/>
    </row>
    <row r="735" spans="6:6" ht="20.399999999999999">
      <c r="F735" s="48"/>
    </row>
    <row r="736" spans="6:6" ht="20.399999999999999">
      <c r="F736" s="48"/>
    </row>
    <row r="737" spans="6:6" ht="20.399999999999999">
      <c r="F737" s="48"/>
    </row>
    <row r="738" spans="6:6" ht="20.399999999999999">
      <c r="F738" s="48"/>
    </row>
    <row r="739" spans="6:6" ht="20.399999999999999">
      <c r="F739" s="48"/>
    </row>
    <row r="740" spans="6:6" ht="20.399999999999999">
      <c r="F740" s="48"/>
    </row>
    <row r="741" spans="6:6" ht="20.399999999999999">
      <c r="F741" s="48"/>
    </row>
    <row r="742" spans="6:6" ht="20.399999999999999">
      <c r="F742" s="48"/>
    </row>
    <row r="743" spans="6:6" ht="20.399999999999999">
      <c r="F743" s="48"/>
    </row>
    <row r="744" spans="6:6" ht="20.399999999999999">
      <c r="F744" s="48"/>
    </row>
    <row r="745" spans="6:6" ht="20.399999999999999">
      <c r="F745" s="48"/>
    </row>
    <row r="746" spans="6:6" ht="20.399999999999999">
      <c r="F746" s="48"/>
    </row>
    <row r="747" spans="6:6" ht="20.399999999999999">
      <c r="F747" s="48"/>
    </row>
    <row r="748" spans="6:6" ht="20.399999999999999">
      <c r="F748" s="48"/>
    </row>
    <row r="749" spans="6:6" ht="20.399999999999999">
      <c r="F749" s="48"/>
    </row>
    <row r="750" spans="6:6" ht="20.399999999999999">
      <c r="F750" s="48"/>
    </row>
    <row r="751" spans="6:6" ht="20.399999999999999">
      <c r="F751" s="48"/>
    </row>
    <row r="752" spans="6:6" ht="20.399999999999999">
      <c r="F752" s="48"/>
    </row>
    <row r="753" spans="6:6" ht="20.399999999999999">
      <c r="F753" s="48"/>
    </row>
    <row r="754" spans="6:6" ht="20.399999999999999">
      <c r="F754" s="48"/>
    </row>
    <row r="755" spans="6:6" ht="20.399999999999999">
      <c r="F755" s="48"/>
    </row>
    <row r="756" spans="6:6" ht="20.399999999999999">
      <c r="F756" s="48"/>
    </row>
    <row r="757" spans="6:6" ht="20.399999999999999">
      <c r="F757" s="48"/>
    </row>
    <row r="758" spans="6:6" ht="20.399999999999999">
      <c r="F758" s="48"/>
    </row>
    <row r="759" spans="6:6" ht="20.399999999999999">
      <c r="F759" s="48"/>
    </row>
    <row r="760" spans="6:6" ht="20.399999999999999">
      <c r="F760" s="48"/>
    </row>
    <row r="761" spans="6:6" ht="20.399999999999999">
      <c r="F761" s="48"/>
    </row>
    <row r="762" spans="6:6" ht="20.399999999999999">
      <c r="F762" s="48"/>
    </row>
    <row r="763" spans="6:6" ht="20.399999999999999">
      <c r="F763" s="48"/>
    </row>
    <row r="764" spans="6:6" ht="20.399999999999999">
      <c r="F764" s="48"/>
    </row>
    <row r="765" spans="6:6" ht="20.399999999999999">
      <c r="F765" s="48"/>
    </row>
    <row r="766" spans="6:6" ht="20.399999999999999">
      <c r="F766" s="48"/>
    </row>
    <row r="767" spans="6:6" ht="20.399999999999999">
      <c r="F767" s="48"/>
    </row>
    <row r="768" spans="6:6" ht="20.399999999999999">
      <c r="F768" s="48"/>
    </row>
    <row r="769" spans="6:6" ht="20.399999999999999">
      <c r="F769" s="48"/>
    </row>
    <row r="770" spans="6:6" ht="20.399999999999999">
      <c r="F770" s="48"/>
    </row>
    <row r="771" spans="6:6" ht="20.399999999999999">
      <c r="F771" s="48"/>
    </row>
    <row r="772" spans="6:6" ht="20.399999999999999">
      <c r="F772" s="48"/>
    </row>
    <row r="773" spans="6:6" ht="20.399999999999999">
      <c r="F773" s="48"/>
    </row>
    <row r="774" spans="6:6" ht="20.399999999999999">
      <c r="F774" s="48"/>
    </row>
    <row r="775" spans="6:6" ht="20.399999999999999">
      <c r="F775" s="48"/>
    </row>
    <row r="776" spans="6:6" ht="20.399999999999999">
      <c r="F776" s="48"/>
    </row>
    <row r="777" spans="6:6" ht="20.399999999999999">
      <c r="F777" s="48"/>
    </row>
    <row r="778" spans="6:6" ht="20.399999999999999">
      <c r="F778" s="48"/>
    </row>
    <row r="779" spans="6:6" ht="20.399999999999999">
      <c r="F779" s="48"/>
    </row>
    <row r="780" spans="6:6" ht="20.399999999999999">
      <c r="F780" s="48"/>
    </row>
    <row r="781" spans="6:6" ht="20.399999999999999">
      <c r="F781" s="48"/>
    </row>
    <row r="782" spans="6:6" ht="20.399999999999999">
      <c r="F782" s="48"/>
    </row>
    <row r="783" spans="6:6" ht="20.399999999999999">
      <c r="F783" s="48"/>
    </row>
    <row r="784" spans="6:6" ht="20.399999999999999">
      <c r="F784" s="48"/>
    </row>
    <row r="785" spans="6:6" ht="20.399999999999999">
      <c r="F785" s="48"/>
    </row>
    <row r="786" spans="6:6" ht="20.399999999999999">
      <c r="F786" s="48"/>
    </row>
    <row r="787" spans="6:6" ht="20.399999999999999">
      <c r="F787" s="48"/>
    </row>
    <row r="788" spans="6:6" ht="20.399999999999999">
      <c r="F788" s="48"/>
    </row>
    <row r="789" spans="6:6" ht="20.399999999999999">
      <c r="F789" s="48"/>
    </row>
    <row r="790" spans="6:6" ht="20.399999999999999">
      <c r="F790" s="48"/>
    </row>
    <row r="791" spans="6:6" ht="20.399999999999999">
      <c r="F791" s="48"/>
    </row>
    <row r="792" spans="6:6" ht="20.399999999999999">
      <c r="F792" s="48"/>
    </row>
    <row r="793" spans="6:6" ht="20.399999999999999">
      <c r="F793" s="48"/>
    </row>
    <row r="794" spans="6:6" ht="20.399999999999999">
      <c r="F794" s="48"/>
    </row>
    <row r="795" spans="6:6" ht="20.399999999999999">
      <c r="F795" s="48"/>
    </row>
    <row r="796" spans="6:6" ht="20.399999999999999">
      <c r="F796" s="48"/>
    </row>
    <row r="797" spans="6:6" ht="20.399999999999999">
      <c r="F797" s="48"/>
    </row>
    <row r="798" spans="6:6" ht="20.399999999999999">
      <c r="F798" s="48"/>
    </row>
    <row r="799" spans="6:6" ht="20.399999999999999">
      <c r="F799" s="48"/>
    </row>
    <row r="800" spans="6:6" ht="20.399999999999999">
      <c r="F800" s="48"/>
    </row>
    <row r="801" spans="6:6" ht="20.399999999999999">
      <c r="F801" s="48"/>
    </row>
    <row r="802" spans="6:6" ht="20.399999999999999">
      <c r="F802" s="48"/>
    </row>
    <row r="803" spans="6:6" ht="20.399999999999999">
      <c r="F803" s="48"/>
    </row>
    <row r="804" spans="6:6" ht="20.399999999999999">
      <c r="F804" s="48"/>
    </row>
    <row r="805" spans="6:6" ht="20.399999999999999">
      <c r="F805" s="48"/>
    </row>
    <row r="806" spans="6:6" ht="20.399999999999999">
      <c r="F806" s="48"/>
    </row>
    <row r="807" spans="6:6" ht="20.399999999999999">
      <c r="F807" s="48"/>
    </row>
    <row r="808" spans="6:6" ht="20.399999999999999">
      <c r="F808" s="48"/>
    </row>
    <row r="809" spans="6:6" ht="20.399999999999999">
      <c r="F809" s="48"/>
    </row>
    <row r="810" spans="6:6" ht="20.399999999999999">
      <c r="F810" s="48"/>
    </row>
    <row r="811" spans="6:6" ht="20.399999999999999">
      <c r="F811" s="48"/>
    </row>
    <row r="812" spans="6:6" ht="20.399999999999999">
      <c r="F812" s="48"/>
    </row>
    <row r="813" spans="6:6" ht="20.399999999999999">
      <c r="F813" s="48"/>
    </row>
    <row r="814" spans="6:6" ht="20.399999999999999">
      <c r="F814" s="48"/>
    </row>
    <row r="815" spans="6:6" ht="20.399999999999999">
      <c r="F815" s="48"/>
    </row>
    <row r="816" spans="6:6" ht="20.399999999999999">
      <c r="F816" s="48"/>
    </row>
    <row r="817" spans="6:6" ht="20.399999999999999">
      <c r="F817" s="48"/>
    </row>
    <row r="818" spans="6:6" ht="20.399999999999999">
      <c r="F818" s="48"/>
    </row>
    <row r="819" spans="6:6" ht="20.399999999999999">
      <c r="F819" s="48"/>
    </row>
    <row r="820" spans="6:6" ht="20.399999999999999">
      <c r="F820" s="48"/>
    </row>
    <row r="821" spans="6:6" ht="20.399999999999999">
      <c r="F821" s="48"/>
    </row>
    <row r="822" spans="6:6" ht="20.399999999999999">
      <c r="F822" s="48"/>
    </row>
    <row r="823" spans="6:6" ht="20.399999999999999">
      <c r="F823" s="48"/>
    </row>
    <row r="824" spans="6:6" ht="20.399999999999999">
      <c r="F824" s="48"/>
    </row>
    <row r="825" spans="6:6" ht="20.399999999999999">
      <c r="F825" s="48"/>
    </row>
    <row r="826" spans="6:6" ht="20.399999999999999">
      <c r="F826" s="48"/>
    </row>
    <row r="827" spans="6:6" ht="20.399999999999999">
      <c r="F827" s="48"/>
    </row>
    <row r="828" spans="6:6" ht="20.399999999999999">
      <c r="F828" s="48"/>
    </row>
    <row r="829" spans="6:6" ht="20.399999999999999">
      <c r="F829" s="48"/>
    </row>
    <row r="830" spans="6:6" ht="20.399999999999999">
      <c r="F830" s="48"/>
    </row>
    <row r="831" spans="6:6" ht="20.399999999999999">
      <c r="F831" s="48"/>
    </row>
    <row r="832" spans="6:6" ht="20.399999999999999">
      <c r="F832" s="48"/>
    </row>
    <row r="833" spans="6:6" ht="20.399999999999999">
      <c r="F833" s="48"/>
    </row>
    <row r="834" spans="6:6" ht="20.399999999999999">
      <c r="F834" s="48"/>
    </row>
    <row r="835" spans="6:6" ht="20.399999999999999">
      <c r="F835" s="48"/>
    </row>
    <row r="836" spans="6:6" ht="20.399999999999999">
      <c r="F836" s="48"/>
    </row>
    <row r="837" spans="6:6" ht="20.399999999999999">
      <c r="F837" s="48"/>
    </row>
    <row r="838" spans="6:6" ht="20.399999999999999">
      <c r="F838" s="48"/>
    </row>
    <row r="839" spans="6:6" ht="20.399999999999999">
      <c r="F839" s="48"/>
    </row>
    <row r="840" spans="6:6" ht="20.399999999999999">
      <c r="F840" s="48"/>
    </row>
    <row r="841" spans="6:6" ht="20.399999999999999">
      <c r="F841" s="48"/>
    </row>
    <row r="842" spans="6:6" ht="20.399999999999999">
      <c r="F842" s="48"/>
    </row>
    <row r="843" spans="6:6" ht="20.399999999999999">
      <c r="F843" s="48"/>
    </row>
    <row r="844" spans="6:6" ht="20.399999999999999">
      <c r="F844" s="48"/>
    </row>
    <row r="845" spans="6:6" ht="20.399999999999999">
      <c r="F845" s="48"/>
    </row>
    <row r="846" spans="6:6" ht="20.399999999999999">
      <c r="F846" s="48"/>
    </row>
    <row r="847" spans="6:6" ht="20.399999999999999">
      <c r="F847" s="48"/>
    </row>
    <row r="848" spans="6:6" ht="20.399999999999999">
      <c r="F848" s="48"/>
    </row>
    <row r="849" spans="6:6" ht="20.399999999999999">
      <c r="F849" s="48"/>
    </row>
    <row r="850" spans="6:6" ht="20.399999999999999">
      <c r="F850" s="48"/>
    </row>
    <row r="851" spans="6:6" ht="20.399999999999999">
      <c r="F851" s="48"/>
    </row>
    <row r="852" spans="6:6" ht="20.399999999999999">
      <c r="F852" s="48"/>
    </row>
    <row r="853" spans="6:6" ht="20.399999999999999">
      <c r="F853" s="48"/>
    </row>
    <row r="854" spans="6:6" ht="20.399999999999999">
      <c r="F854" s="48"/>
    </row>
    <row r="855" spans="6:6" ht="20.399999999999999">
      <c r="F855" s="48"/>
    </row>
    <row r="856" spans="6:6" ht="20.399999999999999">
      <c r="F856" s="48"/>
    </row>
    <row r="857" spans="6:6" ht="20.399999999999999">
      <c r="F857" s="48"/>
    </row>
    <row r="858" spans="6:6" ht="20.399999999999999">
      <c r="F858" s="48"/>
    </row>
    <row r="859" spans="6:6" ht="20.399999999999999">
      <c r="F859" s="48"/>
    </row>
    <row r="860" spans="6:6" ht="20.399999999999999">
      <c r="F860" s="48"/>
    </row>
    <row r="861" spans="6:6" ht="20.399999999999999">
      <c r="F861" s="48"/>
    </row>
    <row r="862" spans="6:6" ht="20.399999999999999">
      <c r="F862" s="48"/>
    </row>
    <row r="863" spans="6:6" ht="20.399999999999999">
      <c r="F863" s="48"/>
    </row>
    <row r="864" spans="6:6" ht="20.399999999999999">
      <c r="F864" s="48"/>
    </row>
    <row r="865" spans="6:6" ht="20.399999999999999">
      <c r="F865" s="48"/>
    </row>
    <row r="866" spans="6:6" ht="20.399999999999999">
      <c r="F866" s="48"/>
    </row>
    <row r="867" spans="6:6" ht="20.399999999999999">
      <c r="F867" s="48"/>
    </row>
    <row r="868" spans="6:6" ht="20.399999999999999">
      <c r="F868" s="48"/>
    </row>
    <row r="869" spans="6:6" ht="20.399999999999999">
      <c r="F869" s="48"/>
    </row>
    <row r="870" spans="6:6" ht="20.399999999999999">
      <c r="F870" s="48"/>
    </row>
    <row r="871" spans="6:6" ht="20.399999999999999">
      <c r="F871" s="48"/>
    </row>
    <row r="872" spans="6:6" ht="20.399999999999999">
      <c r="F872" s="48"/>
    </row>
    <row r="873" spans="6:6" ht="20.399999999999999">
      <c r="F873" s="48"/>
    </row>
    <row r="874" spans="6:6" ht="20.399999999999999">
      <c r="F874" s="48"/>
    </row>
    <row r="875" spans="6:6" ht="20.399999999999999">
      <c r="F875" s="48"/>
    </row>
    <row r="876" spans="6:6" ht="20.399999999999999">
      <c r="F876" s="48"/>
    </row>
    <row r="877" spans="6:6" ht="20.399999999999999">
      <c r="F877" s="48"/>
    </row>
    <row r="878" spans="6:6" ht="20.399999999999999">
      <c r="F878" s="48"/>
    </row>
    <row r="879" spans="6:6" ht="20.399999999999999">
      <c r="F879" s="48"/>
    </row>
    <row r="880" spans="6:6" ht="20.399999999999999">
      <c r="F880" s="48"/>
    </row>
    <row r="881" spans="6:6" ht="20.399999999999999">
      <c r="F881" s="48"/>
    </row>
    <row r="882" spans="6:6" ht="20.399999999999999">
      <c r="F882" s="48"/>
    </row>
    <row r="883" spans="6:6" ht="20.399999999999999">
      <c r="F883" s="48"/>
    </row>
    <row r="884" spans="6:6" ht="20.399999999999999">
      <c r="F884" s="48"/>
    </row>
    <row r="885" spans="6:6" ht="20.399999999999999">
      <c r="F885" s="48"/>
    </row>
    <row r="886" spans="6:6" ht="20.399999999999999">
      <c r="F886" s="48"/>
    </row>
    <row r="887" spans="6:6" ht="20.399999999999999">
      <c r="F887" s="48"/>
    </row>
    <row r="888" spans="6:6" ht="20.399999999999999">
      <c r="F888" s="48"/>
    </row>
    <row r="889" spans="6:6" ht="20.399999999999999">
      <c r="F889" s="48"/>
    </row>
    <row r="890" spans="6:6" ht="20.399999999999999">
      <c r="F890" s="48"/>
    </row>
    <row r="891" spans="6:6" ht="20.399999999999999">
      <c r="F891" s="48"/>
    </row>
    <row r="892" spans="6:6" ht="20.399999999999999">
      <c r="F892" s="48"/>
    </row>
    <row r="893" spans="6:6" ht="20.399999999999999">
      <c r="F893" s="48"/>
    </row>
    <row r="894" spans="6:6" ht="20.399999999999999">
      <c r="F894" s="48"/>
    </row>
    <row r="895" spans="6:6" ht="20.399999999999999">
      <c r="F895" s="48"/>
    </row>
    <row r="896" spans="6:6" ht="20.399999999999999">
      <c r="F896" s="48"/>
    </row>
    <row r="897" spans="6:6" ht="20.399999999999999">
      <c r="F897" s="48"/>
    </row>
    <row r="898" spans="6:6" ht="20.399999999999999">
      <c r="F898" s="48"/>
    </row>
    <row r="899" spans="6:6" ht="20.399999999999999">
      <c r="F899" s="48"/>
    </row>
    <row r="900" spans="6:6" ht="20.399999999999999">
      <c r="F900" s="48"/>
    </row>
    <row r="901" spans="6:6" ht="20.399999999999999">
      <c r="F901" s="48"/>
    </row>
    <row r="902" spans="6:6" ht="20.399999999999999">
      <c r="F902" s="48"/>
    </row>
    <row r="903" spans="6:6" ht="20.399999999999999">
      <c r="F903" s="48"/>
    </row>
    <row r="904" spans="6:6" ht="20.399999999999999">
      <c r="F904" s="48"/>
    </row>
    <row r="905" spans="6:6" ht="20.399999999999999">
      <c r="F905" s="48"/>
    </row>
    <row r="906" spans="6:6" ht="20.399999999999999">
      <c r="F906" s="48"/>
    </row>
    <row r="907" spans="6:6" ht="20.399999999999999">
      <c r="F907" s="48"/>
    </row>
    <row r="908" spans="6:6" ht="20.399999999999999">
      <c r="F908" s="48"/>
    </row>
    <row r="909" spans="6:6" ht="20.399999999999999">
      <c r="F909" s="48"/>
    </row>
    <row r="910" spans="6:6" ht="20.399999999999999">
      <c r="F910" s="48"/>
    </row>
    <row r="911" spans="6:6" ht="20.399999999999999">
      <c r="F911" s="48"/>
    </row>
    <row r="912" spans="6:6" ht="20.399999999999999">
      <c r="F912" s="48"/>
    </row>
    <row r="913" spans="6:6" ht="20.399999999999999">
      <c r="F913" s="48"/>
    </row>
    <row r="914" spans="6:6" ht="20.399999999999999">
      <c r="F914" s="48"/>
    </row>
    <row r="915" spans="6:6" ht="20.399999999999999">
      <c r="F915" s="48"/>
    </row>
    <row r="916" spans="6:6" ht="20.399999999999999">
      <c r="F916" s="48"/>
    </row>
    <row r="917" spans="6:6" ht="20.399999999999999">
      <c r="F917" s="48"/>
    </row>
    <row r="918" spans="6:6" ht="20.399999999999999">
      <c r="F918" s="48"/>
    </row>
    <row r="919" spans="6:6" ht="20.399999999999999">
      <c r="F919" s="48"/>
    </row>
    <row r="920" spans="6:6" ht="20.399999999999999"/>
    <row r="921" spans="6:6" ht="20.399999999999999"/>
    <row r="922" spans="6:6" ht="20.399999999999999"/>
    <row r="923" spans="6:6" ht="20.399999999999999"/>
    <row r="924" spans="6:6" ht="20.399999999999999"/>
    <row r="925" spans="6:6" ht="20.399999999999999"/>
    <row r="926" spans="6:6" ht="20.399999999999999"/>
    <row r="927" spans="6:6" ht="20.399999999999999"/>
    <row r="928" spans="6:6" ht="20.399999999999999"/>
    <row r="929" ht="20.399999999999999"/>
    <row r="930" ht="20.399999999999999"/>
    <row r="931" ht="20.399999999999999"/>
    <row r="932" ht="20.399999999999999"/>
    <row r="933" ht="20.399999999999999"/>
    <row r="934" ht="20.399999999999999"/>
    <row r="935" ht="20.399999999999999"/>
    <row r="936" ht="20.399999999999999"/>
    <row r="937" ht="20.399999999999999"/>
    <row r="938" ht="20.399999999999999"/>
    <row r="939" ht="20.399999999999999"/>
    <row r="940" ht="20.399999999999999"/>
    <row r="941" ht="20.399999999999999"/>
    <row r="942" ht="20.399999999999999"/>
    <row r="943" ht="20.399999999999999"/>
    <row r="944" ht="20.399999999999999"/>
  </sheetData>
  <mergeCells count="1">
    <mergeCell ref="A1:G4"/>
  </mergeCells>
  <conditionalFormatting sqref="F27:F919">
    <cfRule type="containsText" dxfId="5" priority="1" operator="containsText" text="نجح">
      <formula>NOT(ISERROR(SEARCH(("نجح"),(F27))))</formula>
    </cfRule>
    <cfRule type="containsText" dxfId="4" priority="2" operator="containsText" text="فشل">
      <formula>NOT(ISERROR(SEARCH(("فشل"),(F27))))</formula>
    </cfRule>
  </conditionalFormatting>
  <dataValidations count="2">
    <dataValidation showDropDown="1" showInputMessage="1" showErrorMessage="1" sqref="D6:E6 B8:C8" xr:uid="{760AECEE-2ED5-428F-AA1E-04F31CE44C22}"/>
    <dataValidation type="list" allowBlank="1" showInputMessage="1" showErrorMessage="1" sqref="G16:G26" xr:uid="{BE13A270-0342-4595-B892-2ACD54B28DBF}">
      <formula1>$O$10:$O$11</formula1>
    </dataValidation>
  </dataValidations>
  <pageMargins left="0.7" right="0.7" top="0.75" bottom="0.75" header="0.3" footer="0.3"/>
  <pageSetup paperSize="9" orientation="portrait"/>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3257-4FAD-4F12-AF01-51B42C65E0B4}">
  <sheetPr>
    <outlinePr summaryBelow="0" summaryRight="0"/>
  </sheetPr>
  <dimension ref="A1:S911"/>
  <sheetViews>
    <sheetView rightToLeft="1" zoomScale="58" zoomScaleNormal="100" workbookViewId="0">
      <selection activeCell="D17" sqref="D17"/>
    </sheetView>
  </sheetViews>
  <sheetFormatPr defaultColWidth="12.6640625" defaultRowHeight="15.75" customHeight="1"/>
  <cols>
    <col min="1" max="1" width="22.33203125" style="2" customWidth="1"/>
    <col min="2" max="2" width="72.5546875" bestFit="1" customWidth="1"/>
    <col min="3" max="3" width="72.5546875" customWidth="1"/>
    <col min="4" max="4" width="174.6640625" customWidth="1"/>
    <col min="5" max="5" width="60.5546875" style="27" bestFit="1" customWidth="1"/>
    <col min="6" max="6" width="60.44140625" bestFit="1" customWidth="1"/>
    <col min="7" max="7" width="54" customWidth="1"/>
    <col min="8" max="15" width="9.109375"/>
    <col min="16" max="16" width="14" customWidth="1"/>
    <col min="17" max="17" width="19.88671875" customWidth="1"/>
  </cols>
  <sheetData>
    <row r="1" spans="1:19" ht="15.75" customHeight="1">
      <c r="A1" s="148" t="s">
        <v>0</v>
      </c>
      <c r="B1" s="155"/>
      <c r="C1" s="155"/>
      <c r="D1" s="155"/>
      <c r="E1" s="155"/>
      <c r="F1" s="155"/>
      <c r="G1" s="155"/>
    </row>
    <row r="2" spans="1:19" ht="15.75" customHeight="1">
      <c r="A2" s="155"/>
      <c r="B2" s="155"/>
      <c r="C2" s="155"/>
      <c r="D2" s="155"/>
      <c r="E2" s="155"/>
      <c r="F2" s="155"/>
      <c r="G2" s="155"/>
      <c r="H2" s="141"/>
      <c r="I2" s="141"/>
      <c r="J2" s="141"/>
      <c r="K2" s="141"/>
      <c r="L2" s="141"/>
      <c r="M2" s="141"/>
      <c r="N2" s="141"/>
      <c r="O2" s="141"/>
      <c r="P2" s="141"/>
      <c r="Q2" s="141"/>
      <c r="R2" s="141"/>
    </row>
    <row r="3" spans="1:19" ht="15.75" customHeight="1">
      <c r="A3" s="155"/>
      <c r="B3" s="155"/>
      <c r="C3" s="155"/>
      <c r="D3" s="155"/>
      <c r="E3" s="155"/>
      <c r="F3" s="155"/>
      <c r="G3" s="155"/>
      <c r="H3" s="141"/>
      <c r="I3" s="141"/>
      <c r="J3" s="141"/>
      <c r="K3" s="141"/>
      <c r="L3" s="141"/>
      <c r="M3" s="141"/>
      <c r="N3" s="141"/>
      <c r="O3" s="141"/>
      <c r="P3" s="141"/>
      <c r="Q3" s="141"/>
      <c r="R3" s="141"/>
    </row>
    <row r="4" spans="1:19" ht="39.6" customHeight="1">
      <c r="A4" s="156"/>
      <c r="B4" s="156"/>
      <c r="C4" s="156"/>
      <c r="D4" s="156"/>
      <c r="E4" s="156"/>
      <c r="F4" s="156"/>
      <c r="G4" s="156"/>
      <c r="H4" s="141"/>
      <c r="I4" s="141"/>
      <c r="J4" s="141"/>
      <c r="K4" s="141"/>
      <c r="L4" s="141"/>
      <c r="M4" s="141"/>
      <c r="N4" s="141"/>
      <c r="O4" s="141"/>
      <c r="P4" s="141"/>
      <c r="Q4" s="141"/>
      <c r="R4" s="141"/>
    </row>
    <row r="5" spans="1:19" ht="1.2" customHeight="1">
      <c r="A5" s="3"/>
      <c r="B5" s="4"/>
      <c r="C5" s="4"/>
      <c r="D5" s="4"/>
      <c r="E5" s="25"/>
      <c r="F5" s="4"/>
      <c r="G5" s="4"/>
      <c r="H5" s="141"/>
      <c r="I5" s="141"/>
      <c r="J5" s="141"/>
      <c r="K5" s="141"/>
      <c r="L5" s="141"/>
      <c r="M5" s="141"/>
      <c r="N5" s="141"/>
      <c r="O5" s="141"/>
      <c r="P5" s="141"/>
      <c r="Q5" s="141"/>
      <c r="R5" s="141"/>
    </row>
    <row r="6" spans="1:19" ht="22.8">
      <c r="A6" s="3"/>
      <c r="B6" s="4"/>
      <c r="C6" s="4"/>
      <c r="D6" s="5"/>
      <c r="E6" s="25"/>
      <c r="F6" s="4"/>
      <c r="G6" s="4"/>
      <c r="H6" s="141"/>
      <c r="I6" s="141"/>
      <c r="J6" s="141"/>
      <c r="K6" s="141"/>
      <c r="L6" s="141"/>
      <c r="M6" s="141"/>
      <c r="N6" s="141"/>
      <c r="O6" s="141"/>
      <c r="P6" s="141"/>
      <c r="Q6" s="141"/>
      <c r="R6" s="141"/>
    </row>
    <row r="7" spans="1:19" ht="22.8">
      <c r="A7" s="3"/>
      <c r="B7" s="4"/>
      <c r="C7" s="4"/>
      <c r="D7" s="5"/>
      <c r="E7" s="25"/>
      <c r="F7" s="4"/>
      <c r="G7" s="4"/>
      <c r="H7" s="141"/>
      <c r="I7" s="141"/>
      <c r="J7" s="141"/>
      <c r="K7" s="141"/>
      <c r="L7" s="141"/>
      <c r="M7" s="141"/>
      <c r="N7" s="141"/>
      <c r="O7" s="142"/>
      <c r="P7" s="142"/>
      <c r="Q7" s="142"/>
      <c r="R7" s="142"/>
      <c r="S7" s="130"/>
    </row>
    <row r="8" spans="1:19" ht="22.8">
      <c r="A8" s="32" t="s">
        <v>2</v>
      </c>
      <c r="B8" s="29" t="s">
        <v>38</v>
      </c>
      <c r="C8" s="5"/>
      <c r="D8" s="5"/>
      <c r="E8" s="25"/>
      <c r="F8" s="4"/>
      <c r="G8" s="4"/>
      <c r="H8" s="141"/>
      <c r="I8" s="141"/>
      <c r="J8" s="141"/>
      <c r="K8" s="141"/>
      <c r="L8" s="141"/>
      <c r="M8" s="141"/>
      <c r="N8" s="141"/>
      <c r="O8" s="142"/>
      <c r="P8" s="142"/>
      <c r="Q8" s="142"/>
      <c r="R8" s="142"/>
      <c r="S8" s="130"/>
    </row>
    <row r="9" spans="1:19" ht="66.599999999999994">
      <c r="A9" s="32" t="s">
        <v>39</v>
      </c>
      <c r="B9" s="29" t="s">
        <v>237</v>
      </c>
      <c r="C9" s="5"/>
      <c r="D9" s="5"/>
      <c r="E9" s="25"/>
      <c r="F9" s="31" t="s">
        <v>41</v>
      </c>
      <c r="G9" s="4"/>
      <c r="H9" s="141"/>
      <c r="I9" s="141"/>
      <c r="J9" s="141"/>
      <c r="K9" s="141"/>
      <c r="L9" s="141"/>
      <c r="M9" s="141"/>
      <c r="N9" s="141"/>
      <c r="O9" s="142"/>
      <c r="P9" s="142"/>
      <c r="Q9" s="142"/>
      <c r="R9" s="142"/>
      <c r="S9" s="130"/>
    </row>
    <row r="10" spans="1:19" ht="22.8">
      <c r="A10" s="4"/>
      <c r="B10" s="4"/>
      <c r="C10" s="23"/>
      <c r="D10" s="4"/>
      <c r="E10" s="25"/>
      <c r="F10" s="31" t="s">
        <v>8</v>
      </c>
      <c r="G10" s="4"/>
      <c r="H10" s="141"/>
      <c r="I10" s="141"/>
      <c r="J10" s="141"/>
      <c r="K10" s="141"/>
      <c r="L10" s="141"/>
      <c r="M10" s="133"/>
      <c r="N10" s="133"/>
      <c r="O10" s="7" t="s">
        <v>41</v>
      </c>
      <c r="P10" s="7">
        <f>COUNTIF(G:H,"نجح")</f>
        <v>0</v>
      </c>
      <c r="Q10" s="7"/>
      <c r="R10" s="142"/>
      <c r="S10" s="130"/>
    </row>
    <row r="11" spans="1:19" ht="81.75" customHeight="1">
      <c r="A11" s="4"/>
      <c r="B11" s="4"/>
      <c r="C11" s="5"/>
      <c r="D11" s="4"/>
      <c r="E11" s="25"/>
      <c r="F11" s="4"/>
      <c r="G11" s="4"/>
      <c r="H11" s="141"/>
      <c r="I11" s="141"/>
      <c r="J11" s="141"/>
      <c r="K11" s="141"/>
      <c r="L11" s="141"/>
      <c r="M11" s="133"/>
      <c r="N11" s="133"/>
      <c r="O11" s="7" t="s">
        <v>8</v>
      </c>
      <c r="P11" s="7">
        <f>COUNTIF(G:H,"فشل")</f>
        <v>0</v>
      </c>
      <c r="Q11" s="7"/>
      <c r="R11" s="142"/>
      <c r="S11" s="130"/>
    </row>
    <row r="12" spans="1:19" ht="25.2" customHeight="1">
      <c r="A12" s="4"/>
      <c r="B12" s="4"/>
      <c r="C12" s="4"/>
      <c r="D12" s="4"/>
      <c r="E12" s="25"/>
      <c r="F12" s="4"/>
      <c r="G12" s="4"/>
      <c r="H12" s="141"/>
      <c r="I12" s="141"/>
      <c r="J12" s="141"/>
      <c r="K12" s="141"/>
      <c r="L12" s="141"/>
      <c r="M12" s="133"/>
      <c r="N12" s="133"/>
      <c r="O12" s="133"/>
      <c r="P12" s="7"/>
      <c r="Q12" s="7"/>
      <c r="R12" s="142"/>
      <c r="S12" s="130"/>
    </row>
    <row r="13" spans="1:19" ht="13.2">
      <c r="A13" s="4"/>
      <c r="B13" s="4"/>
      <c r="C13" s="4"/>
      <c r="D13" s="4"/>
      <c r="E13" s="25"/>
      <c r="F13" s="4"/>
      <c r="G13" s="4"/>
      <c r="H13" s="141"/>
      <c r="I13" s="141"/>
      <c r="J13" s="141"/>
      <c r="K13" s="141"/>
      <c r="L13" s="141"/>
      <c r="M13" s="141"/>
      <c r="N13" s="141"/>
      <c r="O13" s="141"/>
      <c r="P13" s="142"/>
      <c r="Q13" s="142"/>
      <c r="R13" s="142"/>
      <c r="S13" s="130"/>
    </row>
    <row r="14" spans="1:19" ht="13.2">
      <c r="A14" s="4"/>
      <c r="B14" s="4"/>
      <c r="C14" s="4"/>
      <c r="D14" s="4"/>
      <c r="E14" s="25"/>
      <c r="F14" s="4"/>
      <c r="G14" s="4"/>
      <c r="H14" s="141"/>
      <c r="I14" s="141"/>
      <c r="J14" s="141"/>
      <c r="K14" s="141"/>
      <c r="L14" s="141"/>
      <c r="M14" s="141"/>
      <c r="N14" s="141"/>
      <c r="O14" s="141"/>
      <c r="P14" s="142"/>
      <c r="Q14" s="142"/>
      <c r="R14" s="142"/>
      <c r="S14" s="130"/>
    </row>
    <row r="15" spans="1:19" s="8" customFormat="1" ht="34.799999999999997">
      <c r="A15" s="19" t="s">
        <v>43</v>
      </c>
      <c r="B15" s="18" t="s">
        <v>44</v>
      </c>
      <c r="C15" s="18" t="s">
        <v>45</v>
      </c>
      <c r="D15" s="18" t="s">
        <v>46</v>
      </c>
      <c r="E15" s="18" t="s">
        <v>47</v>
      </c>
      <c r="F15" s="18" t="s">
        <v>48</v>
      </c>
      <c r="G15" s="18" t="s">
        <v>49</v>
      </c>
      <c r="H15" s="143"/>
      <c r="I15" s="143"/>
      <c r="J15" s="143"/>
      <c r="K15" s="143"/>
      <c r="L15" s="143"/>
      <c r="M15" s="143"/>
      <c r="N15" s="143"/>
      <c r="O15" s="143"/>
      <c r="P15" s="143"/>
      <c r="Q15" s="143"/>
      <c r="R15" s="143"/>
    </row>
    <row r="16" spans="1:19" ht="73.2" customHeight="1">
      <c r="A16" s="20">
        <v>1</v>
      </c>
      <c r="B16" s="9" t="s">
        <v>50</v>
      </c>
      <c r="C16" s="9" t="s">
        <v>237</v>
      </c>
      <c r="D16" s="10" t="s">
        <v>238</v>
      </c>
      <c r="E16" s="9" t="s">
        <v>239</v>
      </c>
      <c r="F16" s="9"/>
      <c r="G16" s="12"/>
      <c r="H16" s="141"/>
      <c r="I16" s="141"/>
      <c r="J16" s="141"/>
      <c r="K16" s="141"/>
      <c r="L16" s="141"/>
      <c r="M16" s="141"/>
      <c r="N16" s="141"/>
      <c r="O16" s="141"/>
      <c r="P16" s="141"/>
      <c r="Q16" s="141"/>
      <c r="R16" s="141"/>
    </row>
    <row r="17" spans="1:7" ht="212.25" customHeight="1">
      <c r="A17" s="20">
        <v>2</v>
      </c>
      <c r="B17" s="9" t="s">
        <v>50</v>
      </c>
      <c r="C17" s="9" t="s">
        <v>237</v>
      </c>
      <c r="D17" s="34" t="s">
        <v>240</v>
      </c>
      <c r="E17" s="9" t="s">
        <v>241</v>
      </c>
      <c r="F17" s="10"/>
      <c r="G17" s="14"/>
    </row>
    <row r="18" spans="1:7" ht="30">
      <c r="E18" s="26"/>
      <c r="G18" s="1"/>
    </row>
    <row r="19" spans="1:7" ht="30">
      <c r="E19" s="26"/>
      <c r="G19" s="1"/>
    </row>
    <row r="20" spans="1:7" ht="30">
      <c r="E20" s="26"/>
      <c r="G20" s="1"/>
    </row>
    <row r="21" spans="1:7" ht="30">
      <c r="E21" s="26"/>
      <c r="G21" s="1"/>
    </row>
    <row r="22" spans="1:7" ht="30">
      <c r="E22" s="26"/>
      <c r="G22" s="1"/>
    </row>
    <row r="23" spans="1:7" ht="30">
      <c r="E23" s="26"/>
      <c r="G23" s="1"/>
    </row>
    <row r="24" spans="1:7" ht="30">
      <c r="E24" s="26"/>
      <c r="G24" s="1"/>
    </row>
    <row r="25" spans="1:7" ht="30">
      <c r="E25" s="26"/>
      <c r="G25" s="1"/>
    </row>
    <row r="26" spans="1:7" ht="30">
      <c r="E26" s="26"/>
      <c r="G26" s="1"/>
    </row>
    <row r="27" spans="1:7" ht="30">
      <c r="E27" s="26"/>
      <c r="G27" s="1"/>
    </row>
    <row r="28" spans="1:7" ht="36.6" customHeight="1">
      <c r="E28" s="26"/>
      <c r="G28" s="1"/>
    </row>
    <row r="29" spans="1:7" ht="45" customHeight="1">
      <c r="E29" s="26"/>
      <c r="G29" s="1"/>
    </row>
    <row r="30" spans="1:7" ht="30">
      <c r="E30" s="26"/>
      <c r="G30" s="1"/>
    </row>
    <row r="31" spans="1:7" ht="52.95" customHeight="1">
      <c r="E31" s="26"/>
      <c r="G31" s="1"/>
    </row>
    <row r="32" spans="1:7" ht="30">
      <c r="E32" s="26"/>
      <c r="G32" s="1"/>
    </row>
    <row r="33" spans="5:7" ht="30">
      <c r="E33" s="26"/>
      <c r="G33" s="1"/>
    </row>
    <row r="34" spans="5:7" ht="30">
      <c r="E34" s="26"/>
      <c r="G34" s="1"/>
    </row>
    <row r="35" spans="5:7" ht="30">
      <c r="E35" s="26"/>
      <c r="G35" s="1"/>
    </row>
    <row r="36" spans="5:7" ht="30">
      <c r="E36" s="26"/>
      <c r="G36" s="1"/>
    </row>
    <row r="37" spans="5:7" ht="30">
      <c r="E37" s="26"/>
      <c r="G37" s="1"/>
    </row>
    <row r="38" spans="5:7" ht="30">
      <c r="E38" s="26"/>
      <c r="G38" s="1"/>
    </row>
    <row r="39" spans="5:7" ht="30">
      <c r="E39" s="26"/>
      <c r="G39" s="1"/>
    </row>
    <row r="40" spans="5:7" ht="49.2" customHeight="1">
      <c r="E40" s="26"/>
      <c r="G40" s="1"/>
    </row>
    <row r="41" spans="5:7" ht="30">
      <c r="E41" s="26"/>
      <c r="G41" s="1"/>
    </row>
    <row r="42" spans="5:7" ht="30">
      <c r="E42" s="26"/>
      <c r="G42" s="1"/>
    </row>
    <row r="43" spans="5:7" ht="30">
      <c r="E43" s="26"/>
      <c r="G43" s="1"/>
    </row>
    <row r="44" spans="5:7" ht="30">
      <c r="E44" s="26"/>
      <c r="G44" s="1"/>
    </row>
    <row r="45" spans="5:7" ht="30">
      <c r="E45" s="26"/>
      <c r="G45" s="1"/>
    </row>
    <row r="46" spans="5:7" ht="30">
      <c r="E46" s="26"/>
      <c r="G46" s="1"/>
    </row>
    <row r="47" spans="5:7" ht="30">
      <c r="E47" s="26"/>
      <c r="G47" s="1"/>
    </row>
    <row r="48" spans="5:7" ht="42.6" customHeight="1">
      <c r="E48" s="26"/>
      <c r="G48" s="1"/>
    </row>
    <row r="49" spans="5:7" ht="30">
      <c r="E49" s="26"/>
      <c r="G49" s="1"/>
    </row>
    <row r="50" spans="5:7" ht="34.200000000000003" customHeight="1">
      <c r="E50" s="26"/>
      <c r="G50" s="1"/>
    </row>
    <row r="51" spans="5:7" ht="45.6" customHeight="1">
      <c r="E51" s="26"/>
      <c r="G51" s="1"/>
    </row>
    <row r="52" spans="5:7" ht="40.950000000000003" customHeight="1">
      <c r="E52" s="26"/>
      <c r="G52" s="1"/>
    </row>
    <row r="53" spans="5:7" ht="42.6" customHeight="1">
      <c r="E53" s="26"/>
      <c r="G53" s="1"/>
    </row>
    <row r="54" spans="5:7" ht="30">
      <c r="E54" s="26"/>
      <c r="G54" s="1"/>
    </row>
    <row r="55" spans="5:7" ht="46.95" customHeight="1">
      <c r="E55" s="26"/>
      <c r="G55" s="1"/>
    </row>
    <row r="56" spans="5:7" ht="43.95" customHeight="1">
      <c r="E56" s="26"/>
      <c r="G56" s="1"/>
    </row>
    <row r="57" spans="5:7" ht="52.95" customHeight="1">
      <c r="E57" s="26"/>
      <c r="G57" s="1"/>
    </row>
    <row r="58" spans="5:7" ht="30">
      <c r="E58" s="26"/>
      <c r="G58" s="1"/>
    </row>
    <row r="59" spans="5:7" ht="30">
      <c r="E59" s="26"/>
      <c r="G59" s="1"/>
    </row>
    <row r="60" spans="5:7" ht="30">
      <c r="E60" s="26"/>
      <c r="G60" s="1"/>
    </row>
    <row r="61" spans="5:7" ht="51" customHeight="1">
      <c r="E61" s="26"/>
      <c r="G61" s="1"/>
    </row>
    <row r="62" spans="5:7" ht="37.950000000000003" customHeight="1">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30">
      <c r="E908" s="26"/>
      <c r="G908" s="1"/>
    </row>
    <row r="909" spans="5:7" ht="30">
      <c r="E909" s="26"/>
      <c r="G909" s="1"/>
    </row>
    <row r="910" spans="5:7" ht="30">
      <c r="E910" s="26"/>
      <c r="G910" s="1"/>
    </row>
    <row r="911" spans="5:7" ht="13.2"/>
  </sheetData>
  <mergeCells count="1">
    <mergeCell ref="A1:G4"/>
  </mergeCells>
  <conditionalFormatting sqref="E17:E910">
    <cfRule type="containsText" dxfId="3" priority="1" operator="containsText" text="نجح">
      <formula>NOT(ISERROR(SEARCH(("نجح"),(E17))))</formula>
    </cfRule>
    <cfRule type="containsText" dxfId="2" priority="2" operator="containsText" text="فشل">
      <formula>NOT(ISERROR(SEARCH(("فشل"),(E17))))</formula>
    </cfRule>
  </conditionalFormatting>
  <dataValidations count="2">
    <dataValidation showDropDown="1" showInputMessage="1" showErrorMessage="1" sqref="D6 B8:C8" xr:uid="{9CB6AB8F-B0B9-4DB3-A857-49BF9FDD851C}"/>
    <dataValidation type="list" allowBlank="1" showInputMessage="1" showErrorMessage="1" sqref="G16:G17" xr:uid="{D396ECAF-2B8E-4A3F-B618-A206C44DD102}">
      <formula1>$O$10:$O$11</formula1>
    </dataValidation>
  </dataValidations>
  <pageMargins left="0.7" right="0.7" top="0.75" bottom="0.75" header="0.3" footer="0.3"/>
  <pageSetup paperSize="9" orientation="portrait"/>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FD05-C1C0-4C25-A037-74CA12820074}">
  <sheetPr>
    <outlinePr summaryBelow="0" summaryRight="0"/>
  </sheetPr>
  <dimension ref="A1:U913"/>
  <sheetViews>
    <sheetView rightToLeft="1" topLeftCell="A5" zoomScale="35" zoomScaleNormal="100" workbookViewId="0">
      <selection activeCell="D18" sqref="D18"/>
    </sheetView>
  </sheetViews>
  <sheetFormatPr defaultColWidth="12.6640625" defaultRowHeight="15.75" customHeight="1"/>
  <cols>
    <col min="1" max="1" width="22.33203125" style="2" customWidth="1"/>
    <col min="2" max="2" width="72.5546875" bestFit="1" customWidth="1"/>
    <col min="3" max="3" width="72.5546875" customWidth="1"/>
    <col min="4" max="4" width="183.33203125" customWidth="1"/>
    <col min="5" max="5" width="61.33203125" customWidth="1"/>
    <col min="6" max="6" width="60.5546875" style="27" bestFit="1" customWidth="1"/>
    <col min="7" max="7" width="60.44140625" bestFit="1" customWidth="1"/>
    <col min="8" max="15" width="9.109375"/>
    <col min="16" max="16" width="14" customWidth="1"/>
    <col min="17" max="17" width="19.88671875" customWidth="1"/>
  </cols>
  <sheetData>
    <row r="1" spans="1:21" ht="15.75" customHeight="1">
      <c r="A1" s="148" t="s">
        <v>0</v>
      </c>
      <c r="B1" s="148"/>
      <c r="C1" s="148"/>
      <c r="D1" s="148"/>
      <c r="E1" s="148"/>
      <c r="F1" s="148"/>
      <c r="G1" s="148"/>
    </row>
    <row r="2" spans="1:21" ht="15.75" customHeight="1">
      <c r="A2" s="148"/>
      <c r="B2" s="148"/>
      <c r="C2" s="148"/>
      <c r="D2" s="148"/>
      <c r="E2" s="148"/>
      <c r="F2" s="148"/>
      <c r="G2" s="148"/>
      <c r="J2" s="128"/>
      <c r="K2" s="128"/>
      <c r="L2" s="128"/>
      <c r="M2" s="128"/>
      <c r="N2" s="128"/>
      <c r="O2" s="128"/>
      <c r="P2" s="128"/>
      <c r="Q2" s="128"/>
      <c r="R2" s="128"/>
      <c r="S2" s="128"/>
      <c r="T2" s="128"/>
      <c r="U2" s="128"/>
    </row>
    <row r="3" spans="1:21" ht="15.75" customHeight="1">
      <c r="A3" s="148"/>
      <c r="B3" s="148"/>
      <c r="C3" s="148"/>
      <c r="D3" s="148"/>
      <c r="E3" s="148"/>
      <c r="F3" s="148"/>
      <c r="G3" s="148"/>
      <c r="J3" s="128"/>
      <c r="K3" s="128"/>
      <c r="L3" s="128"/>
      <c r="M3" s="128"/>
      <c r="N3" s="128"/>
      <c r="O3" s="128"/>
      <c r="P3" s="128"/>
      <c r="Q3" s="128"/>
      <c r="R3" s="128"/>
      <c r="S3" s="128"/>
      <c r="T3" s="128"/>
      <c r="U3" s="128"/>
    </row>
    <row r="4" spans="1:21" ht="39.6" customHeight="1">
      <c r="A4" s="149"/>
      <c r="B4" s="149"/>
      <c r="C4" s="149"/>
      <c r="D4" s="149"/>
      <c r="E4" s="149"/>
      <c r="F4" s="149"/>
      <c r="G4" s="149"/>
      <c r="S4" s="128"/>
      <c r="T4" s="128"/>
      <c r="U4" s="128"/>
    </row>
    <row r="5" spans="1:21" ht="1.2" customHeight="1">
      <c r="A5" s="3"/>
      <c r="B5" s="4"/>
      <c r="C5" s="4"/>
      <c r="D5" s="4"/>
      <c r="E5" s="4"/>
      <c r="F5" s="25"/>
      <c r="G5" s="4"/>
      <c r="S5" s="128"/>
      <c r="T5" s="128"/>
      <c r="U5" s="128"/>
    </row>
    <row r="6" spans="1:21" ht="22.8">
      <c r="A6" s="3"/>
      <c r="B6" s="4"/>
      <c r="C6" s="4"/>
      <c r="D6" s="5"/>
      <c r="E6" s="5"/>
      <c r="F6" s="25"/>
      <c r="G6" s="4"/>
      <c r="S6" s="128"/>
      <c r="T6" s="128"/>
      <c r="U6" s="128"/>
    </row>
    <row r="7" spans="1:21" ht="22.8">
      <c r="A7" s="3"/>
      <c r="B7" s="4"/>
      <c r="C7" s="4"/>
      <c r="D7" s="5"/>
      <c r="E7" s="5"/>
      <c r="F7" s="25"/>
      <c r="G7" s="4"/>
      <c r="O7" s="130"/>
      <c r="P7" s="130"/>
      <c r="Q7" s="130"/>
      <c r="R7" s="130"/>
      <c r="S7" s="6"/>
      <c r="T7" s="128"/>
      <c r="U7" s="128"/>
    </row>
    <row r="8" spans="1:21" ht="22.8">
      <c r="A8" s="32" t="s">
        <v>2</v>
      </c>
      <c r="B8" s="29" t="s">
        <v>3</v>
      </c>
      <c r="C8" s="5"/>
      <c r="D8" s="5"/>
      <c r="E8" s="5"/>
      <c r="F8" s="25"/>
      <c r="G8" s="4"/>
      <c r="O8" s="130"/>
      <c r="P8" s="130"/>
      <c r="Q8" s="130"/>
      <c r="R8" s="130"/>
      <c r="S8" s="6"/>
      <c r="T8" s="128"/>
      <c r="U8" s="128"/>
    </row>
    <row r="9" spans="1:21" ht="66.599999999999994">
      <c r="A9" s="32" t="s">
        <v>39</v>
      </c>
      <c r="B9" s="29" t="s">
        <v>242</v>
      </c>
      <c r="C9" s="5"/>
      <c r="D9" s="5"/>
      <c r="E9" s="5"/>
      <c r="F9" s="25"/>
      <c r="G9" s="4"/>
      <c r="O9" s="130"/>
      <c r="P9" s="130"/>
      <c r="Q9" s="130"/>
      <c r="R9" s="130"/>
      <c r="S9" s="6"/>
      <c r="T9" s="128"/>
      <c r="U9" s="128"/>
    </row>
    <row r="10" spans="1:21" ht="44.4">
      <c r="A10" s="32" t="s">
        <v>194</v>
      </c>
      <c r="B10" s="30" t="s">
        <v>195</v>
      </c>
      <c r="C10" s="23"/>
      <c r="D10" s="4"/>
      <c r="E10" s="4"/>
      <c r="F10" s="25"/>
      <c r="G10" s="4"/>
      <c r="O10" s="7" t="s">
        <v>41</v>
      </c>
      <c r="P10" s="7">
        <f>COUNTIF(G:G,"نجح")</f>
        <v>0</v>
      </c>
      <c r="Q10" s="130"/>
      <c r="R10" s="130"/>
      <c r="S10" s="6"/>
      <c r="T10" s="128"/>
      <c r="U10" s="128"/>
    </row>
    <row r="11" spans="1:21" ht="89.25" customHeight="1">
      <c r="A11" s="4"/>
      <c r="B11" s="4"/>
      <c r="C11" s="5"/>
      <c r="D11" s="4"/>
      <c r="E11" s="4"/>
      <c r="F11" s="25"/>
      <c r="G11" s="4"/>
      <c r="O11" s="7" t="s">
        <v>8</v>
      </c>
      <c r="P11" s="7">
        <f>COUNTIF(G:G,"فشل")</f>
        <v>0</v>
      </c>
      <c r="Q11" s="130"/>
      <c r="R11" s="130"/>
      <c r="S11" s="6"/>
      <c r="T11" s="128"/>
      <c r="U11" s="128"/>
    </row>
    <row r="12" spans="1:21" ht="25.2" customHeight="1">
      <c r="A12" s="4"/>
      <c r="B12" s="4"/>
      <c r="C12" s="4"/>
      <c r="D12" s="4"/>
      <c r="E12" s="4"/>
      <c r="F12" s="25"/>
      <c r="G12" s="4"/>
      <c r="P12" s="130"/>
      <c r="Q12" s="130"/>
      <c r="R12" s="130"/>
      <c r="S12" s="6"/>
      <c r="T12" s="128"/>
      <c r="U12" s="128"/>
    </row>
    <row r="13" spans="1:21" ht="13.2">
      <c r="A13" s="4"/>
      <c r="B13" s="4"/>
      <c r="C13" s="4"/>
      <c r="D13" s="4"/>
      <c r="E13" s="4"/>
      <c r="F13" s="25"/>
      <c r="G13" s="4"/>
      <c r="P13" s="130"/>
      <c r="Q13" s="130"/>
      <c r="R13" s="130"/>
      <c r="S13" s="6"/>
      <c r="T13" s="128"/>
      <c r="U13" s="128"/>
    </row>
    <row r="14" spans="1:21" ht="13.2">
      <c r="A14" s="4"/>
      <c r="B14" s="4"/>
      <c r="C14" s="4"/>
      <c r="D14" s="4"/>
      <c r="E14" s="4"/>
      <c r="F14" s="25"/>
      <c r="G14" s="4"/>
      <c r="I14" s="128"/>
      <c r="J14" s="128"/>
      <c r="K14" s="128"/>
      <c r="L14" s="128"/>
      <c r="M14" s="128"/>
      <c r="N14" s="128"/>
      <c r="O14" s="128"/>
      <c r="P14" s="6"/>
      <c r="Q14" s="6"/>
      <c r="R14" s="6"/>
      <c r="S14" s="6"/>
      <c r="T14" s="128"/>
      <c r="U14" s="128"/>
    </row>
    <row r="15" spans="1:21" s="8" customFormat="1" ht="34.799999999999997">
      <c r="A15" s="19" t="s">
        <v>43</v>
      </c>
      <c r="B15" s="18" t="s">
        <v>44</v>
      </c>
      <c r="C15" s="18" t="s">
        <v>45</v>
      </c>
      <c r="D15" s="18" t="s">
        <v>46</v>
      </c>
      <c r="E15" s="18" t="s">
        <v>47</v>
      </c>
      <c r="F15" s="18" t="s">
        <v>48</v>
      </c>
      <c r="G15" s="18" t="s">
        <v>49</v>
      </c>
      <c r="I15" s="135"/>
      <c r="J15" s="135"/>
      <c r="K15" s="135"/>
      <c r="L15" s="135"/>
      <c r="M15" s="135"/>
      <c r="N15" s="135"/>
      <c r="O15" s="135"/>
      <c r="P15" s="135"/>
      <c r="Q15" s="135"/>
      <c r="R15" s="135"/>
      <c r="S15" s="135"/>
      <c r="T15" s="135"/>
      <c r="U15" s="135"/>
    </row>
    <row r="16" spans="1:21" ht="107.25" customHeight="1">
      <c r="A16" s="20">
        <v>1</v>
      </c>
      <c r="B16" s="9" t="s">
        <v>50</v>
      </c>
      <c r="C16" s="9" t="s">
        <v>242</v>
      </c>
      <c r="D16" s="10" t="s">
        <v>243</v>
      </c>
      <c r="E16" s="9" t="s">
        <v>244</v>
      </c>
      <c r="F16" s="9"/>
      <c r="G16" s="12"/>
      <c r="I16" s="128"/>
      <c r="J16" s="128"/>
      <c r="K16" s="128"/>
      <c r="L16" s="128"/>
      <c r="M16" s="128"/>
      <c r="N16" s="128"/>
      <c r="O16" s="128"/>
      <c r="P16" s="128"/>
      <c r="Q16" s="128"/>
      <c r="R16" s="128"/>
      <c r="S16" s="128"/>
      <c r="T16" s="128"/>
      <c r="U16" s="128"/>
    </row>
    <row r="17" spans="1:21" ht="222.75" customHeight="1">
      <c r="A17" s="20">
        <v>2</v>
      </c>
      <c r="B17" s="9" t="s">
        <v>50</v>
      </c>
      <c r="C17" s="9" t="s">
        <v>245</v>
      </c>
      <c r="D17" s="33" t="s">
        <v>246</v>
      </c>
      <c r="E17" s="24" t="s">
        <v>247</v>
      </c>
      <c r="F17" s="10"/>
      <c r="G17" s="14"/>
      <c r="I17" s="128"/>
      <c r="J17" s="128"/>
      <c r="K17" s="128"/>
      <c r="L17" s="128"/>
      <c r="M17" s="128"/>
      <c r="N17" s="128"/>
      <c r="O17" s="128"/>
      <c r="P17" s="128"/>
      <c r="Q17" s="128"/>
      <c r="R17" s="128"/>
      <c r="S17" s="128"/>
      <c r="T17" s="128"/>
      <c r="U17" s="128"/>
    </row>
    <row r="18" spans="1:21" ht="222.75" customHeight="1">
      <c r="A18" s="20">
        <v>3</v>
      </c>
      <c r="B18" s="9" t="s">
        <v>50</v>
      </c>
      <c r="C18" s="9" t="s">
        <v>248</v>
      </c>
      <c r="D18" s="34" t="s">
        <v>249</v>
      </c>
      <c r="E18" s="24" t="s">
        <v>247</v>
      </c>
      <c r="F18" s="13"/>
      <c r="G18" s="16"/>
    </row>
    <row r="19" spans="1:21" ht="223.5" customHeight="1">
      <c r="A19" s="20">
        <v>4</v>
      </c>
      <c r="B19" s="9" t="s">
        <v>50</v>
      </c>
      <c r="C19" s="9" t="s">
        <v>250</v>
      </c>
      <c r="D19" s="33" t="s">
        <v>251</v>
      </c>
      <c r="E19" s="24" t="s">
        <v>247</v>
      </c>
      <c r="F19" s="10"/>
      <c r="G19" s="14"/>
    </row>
    <row r="20" spans="1:21" ht="22.8">
      <c r="F20" s="26"/>
    </row>
    <row r="21" spans="1:21" ht="22.8">
      <c r="F21" s="26"/>
    </row>
    <row r="22" spans="1:21" ht="22.8">
      <c r="F22" s="26"/>
    </row>
    <row r="23" spans="1:21" ht="22.8">
      <c r="F23" s="26"/>
    </row>
    <row r="24" spans="1:21" ht="22.8">
      <c r="F24" s="26"/>
    </row>
    <row r="25" spans="1:21" ht="22.8">
      <c r="F25" s="26"/>
    </row>
    <row r="26" spans="1:21" ht="22.8">
      <c r="F26" s="26"/>
    </row>
    <row r="27" spans="1:21" ht="22.8">
      <c r="F27" s="26"/>
    </row>
    <row r="28" spans="1:21" ht="22.8">
      <c r="F28" s="26"/>
    </row>
    <row r="29" spans="1:21" ht="22.8">
      <c r="F29" s="26"/>
    </row>
    <row r="30" spans="1:21" ht="36.6" customHeight="1">
      <c r="F30" s="26"/>
    </row>
    <row r="31" spans="1:21" ht="45" customHeight="1">
      <c r="F31" s="26"/>
    </row>
    <row r="32" spans="1:21" ht="22.8">
      <c r="F32" s="26"/>
    </row>
    <row r="33" spans="6:6" ht="52.95" customHeight="1">
      <c r="F33" s="26"/>
    </row>
    <row r="34" spans="6:6" ht="22.8">
      <c r="F34" s="26"/>
    </row>
    <row r="35" spans="6:6" ht="22.8">
      <c r="F35" s="26"/>
    </row>
    <row r="36" spans="6:6" ht="22.8">
      <c r="F36" s="26"/>
    </row>
    <row r="37" spans="6:6" ht="22.8">
      <c r="F37" s="26"/>
    </row>
    <row r="38" spans="6:6" ht="22.8">
      <c r="F38" s="26"/>
    </row>
    <row r="39" spans="6:6" ht="22.8">
      <c r="F39" s="26"/>
    </row>
    <row r="40" spans="6:6" ht="22.8">
      <c r="F40" s="26"/>
    </row>
    <row r="41" spans="6:6" ht="22.8">
      <c r="F41" s="26"/>
    </row>
    <row r="42" spans="6:6" ht="49.2" customHeight="1">
      <c r="F42" s="26"/>
    </row>
    <row r="43" spans="6:6" ht="22.8">
      <c r="F43" s="26"/>
    </row>
    <row r="44" spans="6:6" ht="22.8">
      <c r="F44" s="26"/>
    </row>
    <row r="45" spans="6:6" ht="22.8">
      <c r="F45" s="26"/>
    </row>
    <row r="46" spans="6:6" ht="22.8">
      <c r="F46" s="26"/>
    </row>
    <row r="47" spans="6:6" ht="22.8">
      <c r="F47" s="26"/>
    </row>
    <row r="48" spans="6:6" ht="22.8">
      <c r="F48" s="26"/>
    </row>
    <row r="49" spans="6:6" ht="22.8">
      <c r="F49" s="26"/>
    </row>
    <row r="50" spans="6:6" ht="42.6" customHeight="1">
      <c r="F50" s="26"/>
    </row>
    <row r="51" spans="6:6" ht="22.8">
      <c r="F51" s="26"/>
    </row>
    <row r="52" spans="6:6" ht="34.200000000000003" customHeight="1">
      <c r="F52" s="26"/>
    </row>
    <row r="53" spans="6:6" ht="45.6" customHeight="1">
      <c r="F53" s="26"/>
    </row>
    <row r="54" spans="6:6" ht="40.950000000000003" customHeight="1">
      <c r="F54" s="26"/>
    </row>
    <row r="55" spans="6:6" ht="42.6" customHeight="1">
      <c r="F55" s="26"/>
    </row>
    <row r="56" spans="6:6" ht="22.8">
      <c r="F56" s="26"/>
    </row>
    <row r="57" spans="6:6" ht="46.95" customHeight="1">
      <c r="F57" s="26"/>
    </row>
    <row r="58" spans="6:6" ht="43.95" customHeight="1">
      <c r="F58" s="26"/>
    </row>
    <row r="59" spans="6:6" ht="52.95" customHeight="1">
      <c r="F59" s="26"/>
    </row>
    <row r="60" spans="6:6" ht="22.8">
      <c r="F60" s="26"/>
    </row>
    <row r="61" spans="6:6" ht="22.8">
      <c r="F61" s="26"/>
    </row>
    <row r="62" spans="6:6" ht="22.8">
      <c r="F62" s="26"/>
    </row>
    <row r="63" spans="6:6" ht="51" customHeight="1">
      <c r="F63" s="26"/>
    </row>
    <row r="64" spans="6:6" ht="37.950000000000003" customHeight="1">
      <c r="F64" s="26"/>
    </row>
    <row r="65" spans="6:6" ht="22.8">
      <c r="F65" s="26"/>
    </row>
    <row r="66" spans="6:6" ht="22.8">
      <c r="F66" s="26"/>
    </row>
    <row r="67" spans="6:6" ht="22.8">
      <c r="F67" s="26"/>
    </row>
    <row r="68" spans="6:6" ht="22.8">
      <c r="F68" s="26"/>
    </row>
    <row r="69" spans="6:6" ht="22.8">
      <c r="F69" s="26"/>
    </row>
    <row r="70" spans="6:6" ht="22.8">
      <c r="F70" s="26"/>
    </row>
    <row r="71" spans="6:6" ht="22.8">
      <c r="F71" s="26"/>
    </row>
    <row r="72" spans="6:6" ht="22.8">
      <c r="F72" s="26"/>
    </row>
    <row r="73" spans="6:6" ht="22.8">
      <c r="F73" s="26"/>
    </row>
    <row r="74" spans="6:6" ht="22.8">
      <c r="F74" s="26"/>
    </row>
    <row r="75" spans="6:6" ht="22.8">
      <c r="F75" s="26"/>
    </row>
    <row r="76" spans="6:6" ht="22.8">
      <c r="F76" s="26"/>
    </row>
    <row r="77" spans="6:6" ht="22.8">
      <c r="F77" s="26"/>
    </row>
    <row r="78" spans="6:6" ht="22.8">
      <c r="F78" s="26"/>
    </row>
    <row r="79" spans="6:6" ht="22.8">
      <c r="F79" s="26"/>
    </row>
    <row r="80" spans="6:6" ht="22.8">
      <c r="F80" s="26"/>
    </row>
    <row r="81" spans="6:6" ht="22.8">
      <c r="F81" s="26"/>
    </row>
    <row r="82" spans="6:6" ht="22.8">
      <c r="F82" s="26"/>
    </row>
    <row r="83" spans="6:6" ht="22.8">
      <c r="F83" s="26"/>
    </row>
    <row r="84" spans="6:6" ht="22.8">
      <c r="F84" s="26"/>
    </row>
    <row r="85" spans="6:6" ht="22.8">
      <c r="F85" s="26"/>
    </row>
    <row r="86" spans="6:6" ht="22.8">
      <c r="F86" s="26"/>
    </row>
    <row r="87" spans="6:6" ht="22.8">
      <c r="F87" s="26"/>
    </row>
    <row r="88" spans="6:6" ht="22.8">
      <c r="F88" s="26"/>
    </row>
    <row r="89" spans="6:6" ht="22.8">
      <c r="F89" s="26"/>
    </row>
    <row r="90" spans="6:6" ht="22.8">
      <c r="F90" s="26"/>
    </row>
    <row r="91" spans="6:6" ht="22.8">
      <c r="F91" s="26"/>
    </row>
    <row r="92" spans="6:6" ht="22.8">
      <c r="F92" s="26"/>
    </row>
    <row r="93" spans="6:6" ht="22.8">
      <c r="F93" s="26"/>
    </row>
    <row r="94" spans="6:6" ht="22.8">
      <c r="F94" s="26"/>
    </row>
    <row r="95" spans="6:6" ht="22.8">
      <c r="F95" s="26"/>
    </row>
    <row r="96" spans="6:6" ht="22.8">
      <c r="F96" s="26"/>
    </row>
    <row r="97" spans="6:6" ht="22.8">
      <c r="F97" s="26"/>
    </row>
    <row r="98" spans="6:6" ht="22.8">
      <c r="F98" s="26"/>
    </row>
    <row r="99" spans="6:6" ht="22.8">
      <c r="F99" s="26"/>
    </row>
    <row r="100" spans="6:6" ht="22.8">
      <c r="F100" s="26"/>
    </row>
    <row r="101" spans="6:6" ht="22.8">
      <c r="F101" s="26"/>
    </row>
    <row r="102" spans="6:6" ht="22.8">
      <c r="F102" s="26"/>
    </row>
    <row r="103" spans="6:6" ht="22.8">
      <c r="F103" s="26"/>
    </row>
    <row r="104" spans="6:6" ht="22.8">
      <c r="F104" s="26"/>
    </row>
    <row r="105" spans="6:6" ht="22.8">
      <c r="F105" s="26"/>
    </row>
    <row r="106" spans="6:6" ht="22.8">
      <c r="F106" s="26"/>
    </row>
    <row r="107" spans="6:6" ht="22.8">
      <c r="F107" s="26"/>
    </row>
    <row r="108" spans="6:6" ht="22.8">
      <c r="F108" s="26"/>
    </row>
    <row r="109" spans="6:6" ht="22.8">
      <c r="F109" s="26"/>
    </row>
    <row r="110" spans="6:6" ht="22.8">
      <c r="F110" s="26"/>
    </row>
    <row r="111" spans="6:6" ht="22.8">
      <c r="F111" s="26"/>
    </row>
    <row r="112" spans="6:6" ht="22.8">
      <c r="F112" s="26"/>
    </row>
    <row r="113" spans="6:6" ht="22.8">
      <c r="F113" s="26"/>
    </row>
    <row r="114" spans="6:6" ht="22.8">
      <c r="F114" s="26"/>
    </row>
    <row r="115" spans="6:6" ht="22.8">
      <c r="F115" s="26"/>
    </row>
    <row r="116" spans="6:6" ht="22.8">
      <c r="F116" s="26"/>
    </row>
    <row r="117" spans="6:6" ht="22.8">
      <c r="F117" s="26"/>
    </row>
    <row r="118" spans="6:6" ht="22.8">
      <c r="F118" s="26"/>
    </row>
    <row r="119" spans="6:6" ht="22.8">
      <c r="F119" s="26"/>
    </row>
    <row r="120" spans="6:6" ht="22.8">
      <c r="F120" s="26"/>
    </row>
    <row r="121" spans="6:6" ht="22.8">
      <c r="F121" s="26"/>
    </row>
    <row r="122" spans="6:6" ht="22.8">
      <c r="F122" s="26"/>
    </row>
    <row r="123" spans="6:6" ht="22.8">
      <c r="F123" s="26"/>
    </row>
    <row r="124" spans="6:6" ht="22.8">
      <c r="F124" s="26"/>
    </row>
    <row r="125" spans="6:6" ht="22.8">
      <c r="F125" s="26"/>
    </row>
    <row r="126" spans="6:6" ht="22.8">
      <c r="F126" s="26"/>
    </row>
    <row r="127" spans="6:6" ht="22.8">
      <c r="F127" s="26"/>
    </row>
    <row r="128" spans="6:6" ht="22.8">
      <c r="F128" s="26"/>
    </row>
    <row r="129" spans="6:6" ht="22.8">
      <c r="F129" s="26"/>
    </row>
    <row r="130" spans="6:6" ht="22.8">
      <c r="F130" s="26"/>
    </row>
    <row r="131" spans="6:6" ht="22.8">
      <c r="F131" s="26"/>
    </row>
    <row r="132" spans="6:6" ht="22.8">
      <c r="F132" s="26"/>
    </row>
    <row r="133" spans="6:6" ht="22.8">
      <c r="F133" s="26"/>
    </row>
    <row r="134" spans="6:6" ht="22.8">
      <c r="F134" s="26"/>
    </row>
    <row r="135" spans="6:6" ht="22.8">
      <c r="F135" s="26"/>
    </row>
    <row r="136" spans="6:6" ht="22.8">
      <c r="F136" s="26"/>
    </row>
    <row r="137" spans="6:6" ht="22.8">
      <c r="F137" s="26"/>
    </row>
    <row r="138" spans="6:6" ht="22.8">
      <c r="F138" s="26"/>
    </row>
    <row r="139" spans="6:6" ht="22.8">
      <c r="F139" s="26"/>
    </row>
    <row r="140" spans="6:6" ht="22.8">
      <c r="F140" s="26"/>
    </row>
    <row r="141" spans="6:6" ht="22.8">
      <c r="F141" s="26"/>
    </row>
    <row r="142" spans="6:6" ht="22.8">
      <c r="F142" s="26"/>
    </row>
    <row r="143" spans="6:6" ht="22.8">
      <c r="F143" s="26"/>
    </row>
    <row r="144" spans="6:6" ht="22.8">
      <c r="F144" s="26"/>
    </row>
    <row r="145" spans="6:6" ht="22.8">
      <c r="F145" s="26"/>
    </row>
    <row r="146" spans="6:6" ht="22.8">
      <c r="F146" s="26"/>
    </row>
    <row r="147" spans="6:6" ht="22.8">
      <c r="F147" s="26"/>
    </row>
    <row r="148" spans="6:6" ht="22.8">
      <c r="F148" s="26"/>
    </row>
    <row r="149" spans="6:6" ht="22.8">
      <c r="F149" s="26"/>
    </row>
    <row r="150" spans="6:6" ht="22.8">
      <c r="F150" s="26"/>
    </row>
    <row r="151" spans="6:6" ht="22.8">
      <c r="F151" s="26"/>
    </row>
    <row r="152" spans="6:6" ht="22.8">
      <c r="F152" s="26"/>
    </row>
    <row r="153" spans="6:6" ht="22.8">
      <c r="F153" s="26"/>
    </row>
    <row r="154" spans="6:6" ht="22.8">
      <c r="F154" s="26"/>
    </row>
    <row r="155" spans="6:6" ht="22.8">
      <c r="F155" s="26"/>
    </row>
    <row r="156" spans="6:6" ht="22.8">
      <c r="F156" s="26"/>
    </row>
    <row r="157" spans="6:6" ht="22.8">
      <c r="F157" s="26"/>
    </row>
    <row r="158" spans="6:6" ht="22.8">
      <c r="F158" s="26"/>
    </row>
    <row r="159" spans="6:6" ht="22.8">
      <c r="F159" s="26"/>
    </row>
    <row r="160" spans="6:6" ht="22.8">
      <c r="F160" s="26"/>
    </row>
    <row r="161" spans="6:6" ht="22.8">
      <c r="F161" s="26"/>
    </row>
    <row r="162" spans="6:6" ht="22.8">
      <c r="F162" s="26"/>
    </row>
    <row r="163" spans="6:6" ht="22.8">
      <c r="F163" s="26"/>
    </row>
    <row r="164" spans="6:6" ht="22.8">
      <c r="F164" s="26"/>
    </row>
    <row r="165" spans="6:6" ht="22.8">
      <c r="F165" s="26"/>
    </row>
    <row r="166" spans="6:6" ht="22.8">
      <c r="F166" s="26"/>
    </row>
    <row r="167" spans="6:6" ht="22.8">
      <c r="F167" s="26"/>
    </row>
    <row r="168" spans="6:6" ht="22.8">
      <c r="F168" s="26"/>
    </row>
    <row r="169" spans="6:6" ht="22.8">
      <c r="F169" s="26"/>
    </row>
    <row r="170" spans="6:6" ht="22.8">
      <c r="F170" s="26"/>
    </row>
    <row r="171" spans="6:6" ht="22.8">
      <c r="F171" s="26"/>
    </row>
    <row r="172" spans="6:6" ht="22.8">
      <c r="F172" s="26"/>
    </row>
    <row r="173" spans="6:6" ht="22.8">
      <c r="F173" s="26"/>
    </row>
    <row r="174" spans="6:6" ht="22.8">
      <c r="F174" s="26"/>
    </row>
    <row r="175" spans="6:6" ht="22.8">
      <c r="F175" s="26"/>
    </row>
    <row r="176" spans="6:6" ht="22.8">
      <c r="F176" s="26"/>
    </row>
    <row r="177" spans="6:6" ht="22.8">
      <c r="F177" s="26"/>
    </row>
    <row r="178" spans="6:6" ht="22.8">
      <c r="F178" s="26"/>
    </row>
    <row r="179" spans="6:6" ht="22.8">
      <c r="F179" s="26"/>
    </row>
    <row r="180" spans="6:6" ht="22.8">
      <c r="F180" s="26"/>
    </row>
    <row r="181" spans="6:6" ht="22.8">
      <c r="F181" s="26"/>
    </row>
    <row r="182" spans="6:6" ht="22.8">
      <c r="F182" s="26"/>
    </row>
    <row r="183" spans="6:6" ht="22.8">
      <c r="F183" s="26"/>
    </row>
    <row r="184" spans="6:6" ht="22.8">
      <c r="F184" s="26"/>
    </row>
    <row r="185" spans="6:6" ht="22.8">
      <c r="F185" s="26"/>
    </row>
    <row r="186" spans="6:6" ht="22.8">
      <c r="F186" s="26"/>
    </row>
    <row r="187" spans="6:6" ht="22.8">
      <c r="F187" s="26"/>
    </row>
    <row r="188" spans="6:6" ht="22.8">
      <c r="F188" s="26"/>
    </row>
    <row r="189" spans="6:6" ht="22.8">
      <c r="F189" s="26"/>
    </row>
    <row r="190" spans="6:6" ht="22.8">
      <c r="F190" s="26"/>
    </row>
    <row r="191" spans="6:6" ht="22.8">
      <c r="F191" s="26"/>
    </row>
    <row r="192" spans="6:6" ht="22.8">
      <c r="F192" s="26"/>
    </row>
    <row r="193" spans="6:6" ht="22.8">
      <c r="F193" s="26"/>
    </row>
    <row r="194" spans="6:6" ht="22.8">
      <c r="F194" s="26"/>
    </row>
    <row r="195" spans="6:6" ht="22.8">
      <c r="F195" s="26"/>
    </row>
    <row r="196" spans="6:6" ht="22.8">
      <c r="F196" s="26"/>
    </row>
    <row r="197" spans="6:6" ht="22.8">
      <c r="F197" s="26"/>
    </row>
    <row r="198" spans="6:6" ht="22.8">
      <c r="F198" s="26"/>
    </row>
    <row r="199" spans="6:6" ht="22.8">
      <c r="F199" s="26"/>
    </row>
    <row r="200" spans="6:6" ht="22.8">
      <c r="F200" s="26"/>
    </row>
    <row r="201" spans="6:6" ht="22.8">
      <c r="F201" s="26"/>
    </row>
    <row r="202" spans="6:6" ht="22.8">
      <c r="F202" s="26"/>
    </row>
    <row r="203" spans="6:6" ht="22.8">
      <c r="F203" s="26"/>
    </row>
    <row r="204" spans="6:6" ht="22.8">
      <c r="F204" s="26"/>
    </row>
    <row r="205" spans="6:6" ht="22.8">
      <c r="F205" s="26"/>
    </row>
    <row r="206" spans="6:6" ht="22.8">
      <c r="F206" s="26"/>
    </row>
    <row r="207" spans="6:6" ht="22.8">
      <c r="F207" s="26"/>
    </row>
    <row r="208" spans="6:6" ht="22.8">
      <c r="F208" s="26"/>
    </row>
    <row r="209" spans="6:6" ht="22.8">
      <c r="F209" s="26"/>
    </row>
    <row r="210" spans="6:6" ht="22.8">
      <c r="F210" s="26"/>
    </row>
    <row r="211" spans="6:6" ht="22.8">
      <c r="F211" s="26"/>
    </row>
    <row r="212" spans="6:6" ht="22.8">
      <c r="F212" s="26"/>
    </row>
    <row r="213" spans="6:6" ht="22.8">
      <c r="F213" s="26"/>
    </row>
    <row r="214" spans="6:6" ht="22.8">
      <c r="F214" s="26"/>
    </row>
    <row r="215" spans="6:6" ht="22.8">
      <c r="F215" s="26"/>
    </row>
    <row r="216" spans="6:6" ht="22.8">
      <c r="F216" s="26"/>
    </row>
    <row r="217" spans="6:6" ht="22.8">
      <c r="F217" s="26"/>
    </row>
    <row r="218" spans="6:6" ht="22.8">
      <c r="F218" s="26"/>
    </row>
    <row r="219" spans="6:6" ht="22.8">
      <c r="F219" s="26"/>
    </row>
    <row r="220" spans="6:6" ht="22.8">
      <c r="F220" s="26"/>
    </row>
    <row r="221" spans="6:6" ht="22.8">
      <c r="F221" s="26"/>
    </row>
    <row r="222" spans="6:6" ht="22.8">
      <c r="F222" s="26"/>
    </row>
    <row r="223" spans="6:6" ht="22.8">
      <c r="F223" s="26"/>
    </row>
    <row r="224" spans="6:6" ht="22.8">
      <c r="F224" s="26"/>
    </row>
    <row r="225" spans="6:6" ht="22.8">
      <c r="F225" s="26"/>
    </row>
    <row r="226" spans="6:6" ht="22.8">
      <c r="F226" s="26"/>
    </row>
    <row r="227" spans="6:6" ht="22.8">
      <c r="F227" s="26"/>
    </row>
    <row r="228" spans="6:6" ht="22.8">
      <c r="F228" s="26"/>
    </row>
    <row r="229" spans="6:6" ht="22.8">
      <c r="F229" s="26"/>
    </row>
    <row r="230" spans="6:6" ht="22.8">
      <c r="F230" s="26"/>
    </row>
    <row r="231" spans="6:6" ht="22.8">
      <c r="F231" s="26"/>
    </row>
    <row r="232" spans="6:6" ht="22.8">
      <c r="F232" s="26"/>
    </row>
    <row r="233" spans="6:6" ht="22.8">
      <c r="F233" s="26"/>
    </row>
    <row r="234" spans="6:6" ht="22.8">
      <c r="F234" s="26"/>
    </row>
    <row r="235" spans="6:6" ht="22.8">
      <c r="F235" s="26"/>
    </row>
    <row r="236" spans="6:6" ht="22.8">
      <c r="F236" s="26"/>
    </row>
    <row r="237" spans="6:6" ht="22.8">
      <c r="F237" s="26"/>
    </row>
    <row r="238" spans="6:6" ht="22.8">
      <c r="F238" s="26"/>
    </row>
    <row r="239" spans="6:6" ht="22.8">
      <c r="F239" s="26"/>
    </row>
    <row r="240" spans="6:6" ht="22.8">
      <c r="F240" s="26"/>
    </row>
    <row r="241" spans="6:6" ht="22.8">
      <c r="F241" s="26"/>
    </row>
    <row r="242" spans="6:6" ht="22.8">
      <c r="F242" s="26"/>
    </row>
    <row r="243" spans="6:6" ht="22.8">
      <c r="F243" s="26"/>
    </row>
    <row r="244" spans="6:6" ht="22.8">
      <c r="F244" s="26"/>
    </row>
    <row r="245" spans="6:6" ht="22.8">
      <c r="F245" s="26"/>
    </row>
    <row r="246" spans="6:6" ht="22.8">
      <c r="F246" s="26"/>
    </row>
    <row r="247" spans="6:6" ht="22.8">
      <c r="F247" s="26"/>
    </row>
    <row r="248" spans="6:6" ht="22.8">
      <c r="F248" s="26"/>
    </row>
    <row r="249" spans="6:6" ht="22.8">
      <c r="F249" s="26"/>
    </row>
    <row r="250" spans="6:6" ht="22.8">
      <c r="F250" s="26"/>
    </row>
    <row r="251" spans="6:6" ht="22.8">
      <c r="F251" s="26"/>
    </row>
    <row r="252" spans="6:6" ht="22.8">
      <c r="F252" s="26"/>
    </row>
    <row r="253" spans="6:6" ht="22.8">
      <c r="F253" s="26"/>
    </row>
    <row r="254" spans="6:6" ht="22.8">
      <c r="F254" s="26"/>
    </row>
    <row r="255" spans="6:6" ht="22.8">
      <c r="F255" s="26"/>
    </row>
    <row r="256" spans="6:6" ht="22.8">
      <c r="F256" s="26"/>
    </row>
    <row r="257" spans="6:6" ht="22.8">
      <c r="F257" s="26"/>
    </row>
    <row r="258" spans="6:6" ht="22.8">
      <c r="F258" s="26"/>
    </row>
    <row r="259" spans="6:6" ht="22.8">
      <c r="F259" s="26"/>
    </row>
    <row r="260" spans="6:6" ht="22.8">
      <c r="F260" s="26"/>
    </row>
    <row r="261" spans="6:6" ht="22.8">
      <c r="F261" s="26"/>
    </row>
    <row r="262" spans="6:6" ht="22.8">
      <c r="F262" s="26"/>
    </row>
    <row r="263" spans="6:6" ht="22.8">
      <c r="F263" s="26"/>
    </row>
    <row r="264" spans="6:6" ht="22.8">
      <c r="F264" s="26"/>
    </row>
    <row r="265" spans="6:6" ht="22.8">
      <c r="F265" s="26"/>
    </row>
    <row r="266" spans="6:6" ht="22.8">
      <c r="F266" s="26"/>
    </row>
    <row r="267" spans="6:6" ht="22.8">
      <c r="F267" s="26"/>
    </row>
    <row r="268" spans="6:6" ht="22.8">
      <c r="F268" s="26"/>
    </row>
    <row r="269" spans="6:6" ht="22.8">
      <c r="F269" s="26"/>
    </row>
    <row r="270" spans="6:6" ht="22.8">
      <c r="F270" s="26"/>
    </row>
    <row r="271" spans="6:6" ht="22.8">
      <c r="F271" s="26"/>
    </row>
    <row r="272" spans="6:6" ht="22.8">
      <c r="F272" s="26"/>
    </row>
    <row r="273" spans="6:6" ht="22.8">
      <c r="F273" s="26"/>
    </row>
    <row r="274" spans="6:6" ht="22.8">
      <c r="F274" s="26"/>
    </row>
    <row r="275" spans="6:6" ht="22.8">
      <c r="F275" s="26"/>
    </row>
    <row r="276" spans="6:6" ht="22.8">
      <c r="F276" s="26"/>
    </row>
    <row r="277" spans="6:6" ht="22.8">
      <c r="F277" s="26"/>
    </row>
    <row r="278" spans="6:6" ht="22.8">
      <c r="F278" s="26"/>
    </row>
    <row r="279" spans="6:6" ht="22.8">
      <c r="F279" s="26"/>
    </row>
    <row r="280" spans="6:6" ht="22.8">
      <c r="F280" s="26"/>
    </row>
    <row r="281" spans="6:6" ht="22.8">
      <c r="F281" s="26"/>
    </row>
    <row r="282" spans="6:6" ht="22.8">
      <c r="F282" s="26"/>
    </row>
    <row r="283" spans="6:6" ht="22.8">
      <c r="F283" s="26"/>
    </row>
    <row r="284" spans="6:6" ht="22.8">
      <c r="F284" s="26"/>
    </row>
    <row r="285" spans="6:6" ht="22.8">
      <c r="F285" s="26"/>
    </row>
    <row r="286" spans="6:6" ht="22.8">
      <c r="F286" s="26"/>
    </row>
    <row r="287" spans="6:6" ht="22.8">
      <c r="F287" s="26"/>
    </row>
    <row r="288" spans="6:6" ht="22.8">
      <c r="F288" s="26"/>
    </row>
    <row r="289" spans="6:6" ht="22.8">
      <c r="F289" s="26"/>
    </row>
    <row r="290" spans="6:6" ht="22.8">
      <c r="F290" s="26"/>
    </row>
    <row r="291" spans="6:6" ht="22.8">
      <c r="F291" s="26"/>
    </row>
    <row r="292" spans="6:6" ht="22.8">
      <c r="F292" s="26"/>
    </row>
    <row r="293" spans="6:6" ht="22.8">
      <c r="F293" s="26"/>
    </row>
    <row r="294" spans="6:6" ht="22.8">
      <c r="F294" s="26"/>
    </row>
    <row r="295" spans="6:6" ht="22.8">
      <c r="F295" s="26"/>
    </row>
    <row r="296" spans="6:6" ht="22.8">
      <c r="F296" s="26"/>
    </row>
    <row r="297" spans="6:6" ht="22.8">
      <c r="F297" s="26"/>
    </row>
    <row r="298" spans="6:6" ht="22.8">
      <c r="F298" s="26"/>
    </row>
    <row r="299" spans="6:6" ht="22.8">
      <c r="F299" s="26"/>
    </row>
    <row r="300" spans="6:6" ht="22.8">
      <c r="F300" s="26"/>
    </row>
    <row r="301" spans="6:6" ht="22.8">
      <c r="F301" s="26"/>
    </row>
    <row r="302" spans="6:6" ht="22.8">
      <c r="F302" s="26"/>
    </row>
    <row r="303" spans="6:6" ht="22.8">
      <c r="F303" s="26"/>
    </row>
    <row r="304" spans="6:6" ht="22.8">
      <c r="F304" s="26"/>
    </row>
    <row r="305" spans="6:6" ht="22.8">
      <c r="F305" s="26"/>
    </row>
    <row r="306" spans="6:6" ht="22.8">
      <c r="F306" s="26"/>
    </row>
    <row r="307" spans="6:6" ht="22.8">
      <c r="F307" s="26"/>
    </row>
    <row r="308" spans="6:6" ht="22.8">
      <c r="F308" s="26"/>
    </row>
    <row r="309" spans="6:6" ht="22.8">
      <c r="F309" s="26"/>
    </row>
    <row r="310" spans="6:6" ht="22.8">
      <c r="F310" s="26"/>
    </row>
    <row r="311" spans="6:6" ht="22.8">
      <c r="F311" s="26"/>
    </row>
    <row r="312" spans="6:6" ht="22.8">
      <c r="F312" s="26"/>
    </row>
    <row r="313" spans="6:6" ht="22.8">
      <c r="F313" s="26"/>
    </row>
    <row r="314" spans="6:6" ht="22.8">
      <c r="F314" s="26"/>
    </row>
    <row r="315" spans="6:6" ht="22.8">
      <c r="F315" s="26"/>
    </row>
    <row r="316" spans="6:6" ht="22.8">
      <c r="F316" s="26"/>
    </row>
    <row r="317" spans="6:6" ht="22.8">
      <c r="F317" s="26"/>
    </row>
    <row r="318" spans="6:6" ht="22.8">
      <c r="F318" s="26"/>
    </row>
    <row r="319" spans="6:6" ht="22.8">
      <c r="F319" s="26"/>
    </row>
    <row r="320" spans="6:6" ht="22.8">
      <c r="F320" s="26"/>
    </row>
    <row r="321" spans="6:6" ht="22.8">
      <c r="F321" s="26"/>
    </row>
    <row r="322" spans="6:6" ht="22.8">
      <c r="F322" s="26"/>
    </row>
    <row r="323" spans="6:6" ht="22.8">
      <c r="F323" s="26"/>
    </row>
    <row r="324" spans="6:6" ht="22.8">
      <c r="F324" s="26"/>
    </row>
    <row r="325" spans="6:6" ht="22.8">
      <c r="F325" s="26"/>
    </row>
    <row r="326" spans="6:6" ht="22.8">
      <c r="F326" s="26"/>
    </row>
    <row r="327" spans="6:6" ht="22.8">
      <c r="F327" s="26"/>
    </row>
    <row r="328" spans="6:6" ht="22.8">
      <c r="F328" s="26"/>
    </row>
    <row r="329" spans="6:6" ht="22.8">
      <c r="F329" s="26"/>
    </row>
    <row r="330" spans="6:6" ht="22.8">
      <c r="F330" s="26"/>
    </row>
    <row r="331" spans="6:6" ht="22.8">
      <c r="F331" s="26"/>
    </row>
    <row r="332" spans="6:6" ht="22.8">
      <c r="F332" s="26"/>
    </row>
    <row r="333" spans="6:6" ht="22.8">
      <c r="F333" s="26"/>
    </row>
    <row r="334" spans="6:6" ht="22.8">
      <c r="F334" s="26"/>
    </row>
    <row r="335" spans="6:6" ht="22.8">
      <c r="F335" s="26"/>
    </row>
    <row r="336" spans="6:6" ht="22.8">
      <c r="F336" s="26"/>
    </row>
    <row r="337" spans="6:6" ht="22.8">
      <c r="F337" s="26"/>
    </row>
    <row r="338" spans="6:6" ht="22.8">
      <c r="F338" s="26"/>
    </row>
    <row r="339" spans="6:6" ht="22.8">
      <c r="F339" s="26"/>
    </row>
    <row r="340" spans="6:6" ht="22.8">
      <c r="F340" s="26"/>
    </row>
    <row r="341" spans="6:6" ht="22.8">
      <c r="F341" s="26"/>
    </row>
    <row r="342" spans="6:6" ht="22.8">
      <c r="F342" s="26"/>
    </row>
    <row r="343" spans="6:6" ht="22.8">
      <c r="F343" s="26"/>
    </row>
    <row r="344" spans="6:6" ht="22.8">
      <c r="F344" s="26"/>
    </row>
    <row r="345" spans="6:6" ht="22.8">
      <c r="F345" s="26"/>
    </row>
    <row r="346" spans="6:6" ht="22.8">
      <c r="F346" s="26"/>
    </row>
    <row r="347" spans="6:6" ht="22.8">
      <c r="F347" s="26"/>
    </row>
    <row r="348" spans="6:6" ht="22.8">
      <c r="F348" s="26"/>
    </row>
    <row r="349" spans="6:6" ht="22.8">
      <c r="F349" s="26"/>
    </row>
    <row r="350" spans="6:6" ht="22.8">
      <c r="F350" s="26"/>
    </row>
    <row r="351" spans="6:6" ht="22.8">
      <c r="F351" s="26"/>
    </row>
    <row r="352" spans="6:6" ht="22.8">
      <c r="F352" s="26"/>
    </row>
    <row r="353" spans="6:6" ht="22.8">
      <c r="F353" s="26"/>
    </row>
    <row r="354" spans="6:6" ht="22.8">
      <c r="F354" s="26"/>
    </row>
    <row r="355" spans="6:6" ht="22.8">
      <c r="F355" s="26"/>
    </row>
    <row r="356" spans="6:6" ht="22.8">
      <c r="F356" s="26"/>
    </row>
    <row r="357" spans="6:6" ht="22.8">
      <c r="F357" s="26"/>
    </row>
    <row r="358" spans="6:6" ht="22.8">
      <c r="F358" s="26"/>
    </row>
    <row r="359" spans="6:6" ht="22.8">
      <c r="F359" s="26"/>
    </row>
    <row r="360" spans="6:6" ht="22.8">
      <c r="F360" s="26"/>
    </row>
    <row r="361" spans="6:6" ht="22.8">
      <c r="F361" s="26"/>
    </row>
    <row r="362" spans="6:6" ht="22.8">
      <c r="F362" s="26"/>
    </row>
    <row r="363" spans="6:6" ht="22.8">
      <c r="F363" s="26"/>
    </row>
    <row r="364" spans="6:6" ht="22.8">
      <c r="F364" s="26"/>
    </row>
    <row r="365" spans="6:6" ht="22.8">
      <c r="F365" s="26"/>
    </row>
    <row r="366" spans="6:6" ht="22.8">
      <c r="F366" s="26"/>
    </row>
    <row r="367" spans="6:6" ht="22.8">
      <c r="F367" s="26"/>
    </row>
    <row r="368" spans="6:6" ht="22.8">
      <c r="F368" s="26"/>
    </row>
    <row r="369" spans="6:6" ht="22.8">
      <c r="F369" s="26"/>
    </row>
    <row r="370" spans="6:6" ht="22.8">
      <c r="F370" s="26"/>
    </row>
    <row r="371" spans="6:6" ht="22.8">
      <c r="F371" s="26"/>
    </row>
    <row r="372" spans="6:6" ht="22.8">
      <c r="F372" s="26"/>
    </row>
    <row r="373" spans="6:6" ht="22.8">
      <c r="F373" s="26"/>
    </row>
    <row r="374" spans="6:6" ht="22.8">
      <c r="F374" s="26"/>
    </row>
    <row r="375" spans="6:6" ht="22.8">
      <c r="F375" s="26"/>
    </row>
    <row r="376" spans="6:6" ht="22.8">
      <c r="F376" s="26"/>
    </row>
    <row r="377" spans="6:6" ht="22.8">
      <c r="F377" s="26"/>
    </row>
    <row r="378" spans="6:6" ht="22.8">
      <c r="F378" s="26"/>
    </row>
    <row r="379" spans="6:6" ht="22.8">
      <c r="F379" s="26"/>
    </row>
    <row r="380" spans="6:6" ht="22.8">
      <c r="F380" s="26"/>
    </row>
    <row r="381" spans="6:6" ht="22.8">
      <c r="F381" s="26"/>
    </row>
    <row r="382" spans="6:6" ht="22.8">
      <c r="F382" s="26"/>
    </row>
    <row r="383" spans="6:6" ht="22.8">
      <c r="F383" s="26"/>
    </row>
    <row r="384" spans="6:6" ht="22.8">
      <c r="F384" s="26"/>
    </row>
    <row r="385" spans="6:6" ht="22.8">
      <c r="F385" s="26"/>
    </row>
    <row r="386" spans="6:6" ht="22.8">
      <c r="F386" s="26"/>
    </row>
    <row r="387" spans="6:6" ht="22.8">
      <c r="F387" s="26"/>
    </row>
    <row r="388" spans="6:6" ht="22.8">
      <c r="F388" s="26"/>
    </row>
    <row r="389" spans="6:6" ht="22.8">
      <c r="F389" s="26"/>
    </row>
    <row r="390" spans="6:6" ht="22.8">
      <c r="F390" s="26"/>
    </row>
    <row r="391" spans="6:6" ht="22.8">
      <c r="F391" s="26"/>
    </row>
    <row r="392" spans="6:6" ht="22.8">
      <c r="F392" s="26"/>
    </row>
    <row r="393" spans="6:6" ht="22.8">
      <c r="F393" s="26"/>
    </row>
    <row r="394" spans="6:6" ht="22.8">
      <c r="F394" s="26"/>
    </row>
    <row r="395" spans="6:6" ht="22.8">
      <c r="F395" s="26"/>
    </row>
    <row r="396" spans="6:6" ht="22.8">
      <c r="F396" s="26"/>
    </row>
    <row r="397" spans="6:6" ht="22.8">
      <c r="F397" s="26"/>
    </row>
    <row r="398" spans="6:6" ht="22.8">
      <c r="F398" s="26"/>
    </row>
    <row r="399" spans="6:6" ht="22.8">
      <c r="F399" s="26"/>
    </row>
    <row r="400" spans="6:6" ht="22.8">
      <c r="F400" s="26"/>
    </row>
    <row r="401" spans="6:6" ht="22.8">
      <c r="F401" s="26"/>
    </row>
    <row r="402" spans="6:6" ht="22.8">
      <c r="F402" s="26"/>
    </row>
    <row r="403" spans="6:6" ht="22.8">
      <c r="F403" s="26"/>
    </row>
    <row r="404" spans="6:6" ht="22.8">
      <c r="F404" s="26"/>
    </row>
    <row r="405" spans="6:6" ht="22.8">
      <c r="F405" s="26"/>
    </row>
    <row r="406" spans="6:6" ht="22.8">
      <c r="F406" s="26"/>
    </row>
    <row r="407" spans="6:6" ht="22.8">
      <c r="F407" s="26"/>
    </row>
    <row r="408" spans="6:6" ht="22.8">
      <c r="F408" s="26"/>
    </row>
    <row r="409" spans="6:6" ht="22.8">
      <c r="F409" s="26"/>
    </row>
    <row r="410" spans="6:6" ht="22.8">
      <c r="F410" s="26"/>
    </row>
    <row r="411" spans="6:6" ht="22.8">
      <c r="F411" s="26"/>
    </row>
    <row r="412" spans="6:6" ht="22.8">
      <c r="F412" s="26"/>
    </row>
    <row r="413" spans="6:6" ht="22.8">
      <c r="F413" s="26"/>
    </row>
    <row r="414" spans="6:6" ht="22.8">
      <c r="F414" s="26"/>
    </row>
    <row r="415" spans="6:6" ht="22.8">
      <c r="F415" s="26"/>
    </row>
    <row r="416" spans="6:6" ht="22.8">
      <c r="F416" s="26"/>
    </row>
    <row r="417" spans="6:6" ht="22.8">
      <c r="F417" s="26"/>
    </row>
    <row r="418" spans="6:6" ht="22.8">
      <c r="F418" s="26"/>
    </row>
    <row r="419" spans="6:6" ht="22.8">
      <c r="F419" s="26"/>
    </row>
    <row r="420" spans="6:6" ht="22.8">
      <c r="F420" s="26"/>
    </row>
    <row r="421" spans="6:6" ht="22.8">
      <c r="F421" s="26"/>
    </row>
    <row r="422" spans="6:6" ht="22.8">
      <c r="F422" s="26"/>
    </row>
    <row r="423" spans="6:6" ht="22.8">
      <c r="F423" s="26"/>
    </row>
    <row r="424" spans="6:6" ht="22.8">
      <c r="F424" s="26"/>
    </row>
    <row r="425" spans="6:6" ht="22.8">
      <c r="F425" s="26"/>
    </row>
    <row r="426" spans="6:6" ht="22.8">
      <c r="F426" s="26"/>
    </row>
    <row r="427" spans="6:6" ht="22.8">
      <c r="F427" s="26"/>
    </row>
    <row r="428" spans="6:6" ht="22.8">
      <c r="F428" s="26"/>
    </row>
    <row r="429" spans="6:6" ht="22.8">
      <c r="F429" s="26"/>
    </row>
    <row r="430" spans="6:6" ht="22.8">
      <c r="F430" s="26"/>
    </row>
    <row r="431" spans="6:6" ht="22.8">
      <c r="F431" s="26"/>
    </row>
    <row r="432" spans="6:6" ht="22.8">
      <c r="F432" s="26"/>
    </row>
    <row r="433" spans="6:6" ht="22.8">
      <c r="F433" s="26"/>
    </row>
    <row r="434" spans="6:6" ht="22.8">
      <c r="F434" s="26"/>
    </row>
    <row r="435" spans="6:6" ht="22.8">
      <c r="F435" s="26"/>
    </row>
    <row r="436" spans="6:6" ht="22.8">
      <c r="F436" s="26"/>
    </row>
    <row r="437" spans="6:6" ht="22.8">
      <c r="F437" s="26"/>
    </row>
    <row r="438" spans="6:6" ht="22.8">
      <c r="F438" s="26"/>
    </row>
    <row r="439" spans="6:6" ht="22.8">
      <c r="F439" s="26"/>
    </row>
    <row r="440" spans="6:6" ht="22.8">
      <c r="F440" s="26"/>
    </row>
    <row r="441" spans="6:6" ht="22.8">
      <c r="F441" s="26"/>
    </row>
    <row r="442" spans="6:6" ht="22.8">
      <c r="F442" s="26"/>
    </row>
    <row r="443" spans="6:6" ht="22.8">
      <c r="F443" s="26"/>
    </row>
    <row r="444" spans="6:6" ht="22.8">
      <c r="F444" s="26"/>
    </row>
    <row r="445" spans="6:6" ht="22.8">
      <c r="F445" s="26"/>
    </row>
    <row r="446" spans="6:6" ht="22.8">
      <c r="F446" s="26"/>
    </row>
    <row r="447" spans="6:6" ht="22.8">
      <c r="F447" s="26"/>
    </row>
    <row r="448" spans="6:6" ht="22.8">
      <c r="F448" s="26"/>
    </row>
    <row r="449" spans="6:6" ht="22.8">
      <c r="F449" s="26"/>
    </row>
    <row r="450" spans="6:6" ht="22.8">
      <c r="F450" s="26"/>
    </row>
    <row r="451" spans="6:6" ht="22.8">
      <c r="F451" s="26"/>
    </row>
    <row r="452" spans="6:6" ht="22.8">
      <c r="F452" s="26"/>
    </row>
    <row r="453" spans="6:6" ht="22.8">
      <c r="F453" s="26"/>
    </row>
    <row r="454" spans="6:6" ht="22.8">
      <c r="F454" s="26"/>
    </row>
    <row r="455" spans="6:6" ht="22.8">
      <c r="F455" s="26"/>
    </row>
    <row r="456" spans="6:6" ht="22.8">
      <c r="F456" s="26"/>
    </row>
    <row r="457" spans="6:6" ht="22.8">
      <c r="F457" s="26"/>
    </row>
    <row r="458" spans="6:6" ht="22.8">
      <c r="F458" s="26"/>
    </row>
    <row r="459" spans="6:6" ht="22.8">
      <c r="F459" s="26"/>
    </row>
    <row r="460" spans="6:6" ht="22.8">
      <c r="F460" s="26"/>
    </row>
    <row r="461" spans="6:6" ht="22.8">
      <c r="F461" s="26"/>
    </row>
    <row r="462" spans="6:6" ht="22.8">
      <c r="F462" s="26"/>
    </row>
    <row r="463" spans="6:6" ht="22.8">
      <c r="F463" s="26"/>
    </row>
    <row r="464" spans="6:6" ht="22.8">
      <c r="F464" s="26"/>
    </row>
    <row r="465" spans="6:6" ht="22.8">
      <c r="F465" s="26"/>
    </row>
    <row r="466" spans="6:6" ht="22.8">
      <c r="F466" s="26"/>
    </row>
    <row r="467" spans="6:6" ht="22.8">
      <c r="F467" s="26"/>
    </row>
    <row r="468" spans="6:6" ht="22.8">
      <c r="F468" s="26"/>
    </row>
    <row r="469" spans="6:6" ht="22.8">
      <c r="F469" s="26"/>
    </row>
    <row r="470" spans="6:6" ht="22.8">
      <c r="F470" s="26"/>
    </row>
    <row r="471" spans="6:6" ht="22.8">
      <c r="F471" s="26"/>
    </row>
    <row r="472" spans="6:6" ht="22.8">
      <c r="F472" s="26"/>
    </row>
    <row r="473" spans="6:6" ht="22.8">
      <c r="F473" s="26"/>
    </row>
    <row r="474" spans="6:6" ht="22.8">
      <c r="F474" s="26"/>
    </row>
    <row r="475" spans="6:6" ht="22.8">
      <c r="F475" s="26"/>
    </row>
    <row r="476" spans="6:6" ht="22.8">
      <c r="F476" s="26"/>
    </row>
    <row r="477" spans="6:6" ht="22.8">
      <c r="F477" s="26"/>
    </row>
    <row r="478" spans="6:6" ht="22.8">
      <c r="F478" s="26"/>
    </row>
    <row r="479" spans="6:6" ht="22.8">
      <c r="F479" s="26"/>
    </row>
    <row r="480" spans="6:6" ht="22.8">
      <c r="F480" s="26"/>
    </row>
    <row r="481" spans="6:6" ht="22.8">
      <c r="F481" s="26"/>
    </row>
    <row r="482" spans="6:6" ht="22.8">
      <c r="F482" s="26"/>
    </row>
    <row r="483" spans="6:6" ht="22.8">
      <c r="F483" s="26"/>
    </row>
    <row r="484" spans="6:6" ht="22.8">
      <c r="F484" s="26"/>
    </row>
    <row r="485" spans="6:6" ht="22.8">
      <c r="F485" s="26"/>
    </row>
    <row r="486" spans="6:6" ht="22.8">
      <c r="F486" s="26"/>
    </row>
    <row r="487" spans="6:6" ht="22.8">
      <c r="F487" s="26"/>
    </row>
    <row r="488" spans="6:6" ht="22.8">
      <c r="F488" s="26"/>
    </row>
    <row r="489" spans="6:6" ht="22.8">
      <c r="F489" s="26"/>
    </row>
    <row r="490" spans="6:6" ht="22.8">
      <c r="F490" s="26"/>
    </row>
    <row r="491" spans="6:6" ht="22.8">
      <c r="F491" s="26"/>
    </row>
    <row r="492" spans="6:6" ht="22.8">
      <c r="F492" s="26"/>
    </row>
    <row r="493" spans="6:6" ht="22.8">
      <c r="F493" s="26"/>
    </row>
    <row r="494" spans="6:6" ht="22.8">
      <c r="F494" s="26"/>
    </row>
    <row r="495" spans="6:6" ht="22.8">
      <c r="F495" s="26"/>
    </row>
    <row r="496" spans="6:6" ht="22.8">
      <c r="F496" s="26"/>
    </row>
    <row r="497" spans="6:6" ht="22.8">
      <c r="F497" s="26"/>
    </row>
    <row r="498" spans="6:6" ht="22.8">
      <c r="F498" s="26"/>
    </row>
    <row r="499" spans="6:6" ht="22.8">
      <c r="F499" s="26"/>
    </row>
    <row r="500" spans="6:6" ht="22.8">
      <c r="F500" s="26"/>
    </row>
    <row r="501" spans="6:6" ht="22.8">
      <c r="F501" s="26"/>
    </row>
    <row r="502" spans="6:6" ht="22.8">
      <c r="F502" s="26"/>
    </row>
    <row r="503" spans="6:6" ht="22.8">
      <c r="F503" s="26"/>
    </row>
    <row r="504" spans="6:6" ht="22.8">
      <c r="F504" s="26"/>
    </row>
    <row r="505" spans="6:6" ht="22.8">
      <c r="F505" s="26"/>
    </row>
    <row r="506" spans="6:6" ht="22.8">
      <c r="F506" s="26"/>
    </row>
    <row r="507" spans="6:6" ht="22.8">
      <c r="F507" s="26"/>
    </row>
    <row r="508" spans="6:6" ht="22.8">
      <c r="F508" s="26"/>
    </row>
    <row r="509" spans="6:6" ht="22.8">
      <c r="F509" s="26"/>
    </row>
    <row r="510" spans="6:6" ht="22.8">
      <c r="F510" s="26"/>
    </row>
    <row r="511" spans="6:6" ht="22.8">
      <c r="F511" s="26"/>
    </row>
    <row r="512" spans="6:6" ht="22.8">
      <c r="F512" s="26"/>
    </row>
    <row r="513" spans="6:6" ht="22.8">
      <c r="F513" s="26"/>
    </row>
    <row r="514" spans="6:6" ht="22.8">
      <c r="F514" s="26"/>
    </row>
    <row r="515" spans="6:6" ht="22.8">
      <c r="F515" s="26"/>
    </row>
    <row r="516" spans="6:6" ht="22.8">
      <c r="F516" s="26"/>
    </row>
    <row r="517" spans="6:6" ht="22.8">
      <c r="F517" s="26"/>
    </row>
    <row r="518" spans="6:6" ht="22.8">
      <c r="F518" s="26"/>
    </row>
    <row r="519" spans="6:6" ht="22.8">
      <c r="F519" s="26"/>
    </row>
    <row r="520" spans="6:6" ht="22.8">
      <c r="F520" s="26"/>
    </row>
    <row r="521" spans="6:6" ht="22.8">
      <c r="F521" s="26"/>
    </row>
    <row r="522" spans="6:6" ht="22.8">
      <c r="F522" s="26"/>
    </row>
    <row r="523" spans="6:6" ht="22.8">
      <c r="F523" s="26"/>
    </row>
    <row r="524" spans="6:6" ht="22.8">
      <c r="F524" s="26"/>
    </row>
    <row r="525" spans="6:6" ht="22.8">
      <c r="F525" s="26"/>
    </row>
    <row r="526" spans="6:6" ht="22.8">
      <c r="F526" s="26"/>
    </row>
    <row r="527" spans="6:6" ht="22.8">
      <c r="F527" s="26"/>
    </row>
    <row r="528" spans="6:6" ht="22.8">
      <c r="F528" s="26"/>
    </row>
    <row r="529" spans="6:6" ht="22.8">
      <c r="F529" s="26"/>
    </row>
    <row r="530" spans="6:6" ht="22.8">
      <c r="F530" s="26"/>
    </row>
    <row r="531" spans="6:6" ht="22.8">
      <c r="F531" s="26"/>
    </row>
    <row r="532" spans="6:6" ht="22.8">
      <c r="F532" s="26"/>
    </row>
    <row r="533" spans="6:6" ht="22.8">
      <c r="F533" s="26"/>
    </row>
    <row r="534" spans="6:6" ht="22.8">
      <c r="F534" s="26"/>
    </row>
    <row r="535" spans="6:6" ht="22.8">
      <c r="F535" s="26"/>
    </row>
    <row r="536" spans="6:6" ht="22.8">
      <c r="F536" s="26"/>
    </row>
    <row r="537" spans="6:6" ht="22.8">
      <c r="F537" s="26"/>
    </row>
    <row r="538" spans="6:6" ht="22.8">
      <c r="F538" s="26"/>
    </row>
    <row r="539" spans="6:6" ht="22.8">
      <c r="F539" s="26"/>
    </row>
    <row r="540" spans="6:6" ht="22.8">
      <c r="F540" s="26"/>
    </row>
    <row r="541" spans="6:6" ht="22.8">
      <c r="F541" s="26"/>
    </row>
    <row r="542" spans="6:6" ht="22.8">
      <c r="F542" s="26"/>
    </row>
    <row r="543" spans="6:6" ht="22.8">
      <c r="F543" s="26"/>
    </row>
    <row r="544" spans="6:6" ht="22.8">
      <c r="F544" s="26"/>
    </row>
    <row r="545" spans="6:6" ht="22.8">
      <c r="F545" s="26"/>
    </row>
    <row r="546" spans="6:6" ht="22.8">
      <c r="F546" s="26"/>
    </row>
    <row r="547" spans="6:6" ht="22.8">
      <c r="F547" s="26"/>
    </row>
    <row r="548" spans="6:6" ht="22.8">
      <c r="F548" s="26"/>
    </row>
    <row r="549" spans="6:6" ht="22.8">
      <c r="F549" s="26"/>
    </row>
    <row r="550" spans="6:6" ht="22.8">
      <c r="F550" s="26"/>
    </row>
    <row r="551" spans="6:6" ht="22.8">
      <c r="F551" s="26"/>
    </row>
    <row r="552" spans="6:6" ht="22.8">
      <c r="F552" s="26"/>
    </row>
    <row r="553" spans="6:6" ht="22.8">
      <c r="F553" s="26"/>
    </row>
    <row r="554" spans="6:6" ht="22.8">
      <c r="F554" s="26"/>
    </row>
    <row r="555" spans="6:6" ht="22.8">
      <c r="F555" s="26"/>
    </row>
    <row r="556" spans="6:6" ht="22.8">
      <c r="F556" s="26"/>
    </row>
    <row r="557" spans="6:6" ht="22.8">
      <c r="F557" s="26"/>
    </row>
    <row r="558" spans="6:6" ht="22.8">
      <c r="F558" s="26"/>
    </row>
    <row r="559" spans="6:6" ht="22.8">
      <c r="F559" s="26"/>
    </row>
    <row r="560" spans="6:6" ht="22.8">
      <c r="F560" s="26"/>
    </row>
    <row r="561" spans="6:6" ht="22.8">
      <c r="F561" s="26"/>
    </row>
    <row r="562" spans="6:6" ht="22.8">
      <c r="F562" s="26"/>
    </row>
    <row r="563" spans="6:6" ht="22.8">
      <c r="F563" s="26"/>
    </row>
    <row r="564" spans="6:6" ht="22.8">
      <c r="F564" s="26"/>
    </row>
    <row r="565" spans="6:6" ht="22.8">
      <c r="F565" s="26"/>
    </row>
    <row r="566" spans="6:6" ht="22.8">
      <c r="F566" s="26"/>
    </row>
    <row r="567" spans="6:6" ht="22.8">
      <c r="F567" s="26"/>
    </row>
    <row r="568" spans="6:6" ht="22.8">
      <c r="F568" s="26"/>
    </row>
    <row r="569" spans="6:6" ht="22.8">
      <c r="F569" s="26"/>
    </row>
    <row r="570" spans="6:6" ht="22.8">
      <c r="F570" s="26"/>
    </row>
    <row r="571" spans="6:6" ht="22.8">
      <c r="F571" s="26"/>
    </row>
    <row r="572" spans="6:6" ht="22.8">
      <c r="F572" s="26"/>
    </row>
    <row r="573" spans="6:6" ht="22.8">
      <c r="F573" s="26"/>
    </row>
    <row r="574" spans="6:6" ht="22.8">
      <c r="F574" s="26"/>
    </row>
    <row r="575" spans="6:6" ht="22.8">
      <c r="F575" s="26"/>
    </row>
    <row r="576" spans="6:6" ht="22.8">
      <c r="F576" s="26"/>
    </row>
    <row r="577" spans="6:6" ht="22.8">
      <c r="F577" s="26"/>
    </row>
    <row r="578" spans="6:6" ht="22.8">
      <c r="F578" s="26"/>
    </row>
    <row r="579" spans="6:6" ht="22.8">
      <c r="F579" s="26"/>
    </row>
    <row r="580" spans="6:6" ht="22.8">
      <c r="F580" s="26"/>
    </row>
    <row r="581" spans="6:6" ht="22.8">
      <c r="F581" s="26"/>
    </row>
    <row r="582" spans="6:6" ht="22.8">
      <c r="F582" s="26"/>
    </row>
    <row r="583" spans="6:6" ht="22.8">
      <c r="F583" s="26"/>
    </row>
    <row r="584" spans="6:6" ht="22.8">
      <c r="F584" s="26"/>
    </row>
    <row r="585" spans="6:6" ht="22.8">
      <c r="F585" s="26"/>
    </row>
    <row r="586" spans="6:6" ht="22.8">
      <c r="F586" s="26"/>
    </row>
    <row r="587" spans="6:6" ht="22.8">
      <c r="F587" s="26"/>
    </row>
    <row r="588" spans="6:6" ht="22.8">
      <c r="F588" s="26"/>
    </row>
    <row r="589" spans="6:6" ht="22.8">
      <c r="F589" s="26"/>
    </row>
    <row r="590" spans="6:6" ht="22.8">
      <c r="F590" s="26"/>
    </row>
    <row r="591" spans="6:6" ht="22.8">
      <c r="F591" s="26"/>
    </row>
    <row r="592" spans="6:6" ht="22.8">
      <c r="F592" s="26"/>
    </row>
    <row r="593" spans="6:6" ht="22.8">
      <c r="F593" s="26"/>
    </row>
    <row r="594" spans="6:6" ht="22.8">
      <c r="F594" s="26"/>
    </row>
    <row r="595" spans="6:6" ht="22.8">
      <c r="F595" s="26"/>
    </row>
    <row r="596" spans="6:6" ht="22.8">
      <c r="F596" s="26"/>
    </row>
    <row r="597" spans="6:6" ht="22.8">
      <c r="F597" s="26"/>
    </row>
    <row r="598" spans="6:6" ht="22.8">
      <c r="F598" s="26"/>
    </row>
    <row r="599" spans="6:6" ht="22.8">
      <c r="F599" s="26"/>
    </row>
    <row r="600" spans="6:6" ht="22.8">
      <c r="F600" s="26"/>
    </row>
    <row r="601" spans="6:6" ht="22.8">
      <c r="F601" s="26"/>
    </row>
    <row r="602" spans="6:6" ht="22.8">
      <c r="F602" s="26"/>
    </row>
    <row r="603" spans="6:6" ht="22.8">
      <c r="F603" s="26"/>
    </row>
    <row r="604" spans="6:6" ht="22.8">
      <c r="F604" s="26"/>
    </row>
    <row r="605" spans="6:6" ht="22.8">
      <c r="F605" s="26"/>
    </row>
    <row r="606" spans="6:6" ht="22.8">
      <c r="F606" s="26"/>
    </row>
    <row r="607" spans="6:6" ht="22.8">
      <c r="F607" s="26"/>
    </row>
    <row r="608" spans="6:6" ht="22.8">
      <c r="F608" s="26"/>
    </row>
    <row r="609" spans="6:6" ht="22.8">
      <c r="F609" s="26"/>
    </row>
    <row r="610" spans="6:6" ht="22.8">
      <c r="F610" s="26"/>
    </row>
    <row r="611" spans="6:6" ht="22.8">
      <c r="F611" s="26"/>
    </row>
    <row r="612" spans="6:6" ht="22.8">
      <c r="F612" s="26"/>
    </row>
    <row r="613" spans="6:6" ht="22.8">
      <c r="F613" s="26"/>
    </row>
    <row r="614" spans="6:6" ht="22.8">
      <c r="F614" s="26"/>
    </row>
    <row r="615" spans="6:6" ht="22.8">
      <c r="F615" s="26"/>
    </row>
    <row r="616" spans="6:6" ht="22.8">
      <c r="F616" s="26"/>
    </row>
    <row r="617" spans="6:6" ht="22.8">
      <c r="F617" s="26"/>
    </row>
    <row r="618" spans="6:6" ht="22.8">
      <c r="F618" s="26"/>
    </row>
    <row r="619" spans="6:6" ht="22.8">
      <c r="F619" s="26"/>
    </row>
    <row r="620" spans="6:6" ht="22.8">
      <c r="F620" s="26"/>
    </row>
    <row r="621" spans="6:6" ht="22.8">
      <c r="F621" s="26"/>
    </row>
    <row r="622" spans="6:6" ht="22.8">
      <c r="F622" s="26"/>
    </row>
    <row r="623" spans="6:6" ht="22.8">
      <c r="F623" s="26"/>
    </row>
    <row r="624" spans="6:6" ht="22.8">
      <c r="F624" s="26"/>
    </row>
    <row r="625" spans="6:6" ht="22.8">
      <c r="F625" s="26"/>
    </row>
    <row r="626" spans="6:6" ht="22.8">
      <c r="F626" s="26"/>
    </row>
    <row r="627" spans="6:6" ht="22.8">
      <c r="F627" s="26"/>
    </row>
    <row r="628" spans="6:6" ht="22.8">
      <c r="F628" s="26"/>
    </row>
    <row r="629" spans="6:6" ht="22.8">
      <c r="F629" s="26"/>
    </row>
    <row r="630" spans="6:6" ht="22.8">
      <c r="F630" s="26"/>
    </row>
    <row r="631" spans="6:6" ht="22.8">
      <c r="F631" s="26"/>
    </row>
    <row r="632" spans="6:6" ht="22.8">
      <c r="F632" s="26"/>
    </row>
    <row r="633" spans="6:6" ht="22.8">
      <c r="F633" s="26"/>
    </row>
    <row r="634" spans="6:6" ht="22.8">
      <c r="F634" s="26"/>
    </row>
    <row r="635" spans="6:6" ht="22.8">
      <c r="F635" s="26"/>
    </row>
    <row r="636" spans="6:6" ht="22.8">
      <c r="F636" s="26"/>
    </row>
    <row r="637" spans="6:6" ht="22.8">
      <c r="F637" s="26"/>
    </row>
    <row r="638" spans="6:6" ht="22.8">
      <c r="F638" s="26"/>
    </row>
    <row r="639" spans="6:6" ht="22.8">
      <c r="F639" s="26"/>
    </row>
    <row r="640" spans="6:6" ht="22.8">
      <c r="F640" s="26"/>
    </row>
    <row r="641" spans="6:6" ht="22.8">
      <c r="F641" s="26"/>
    </row>
    <row r="642" spans="6:6" ht="22.8">
      <c r="F642" s="26"/>
    </row>
    <row r="643" spans="6:6" ht="22.8">
      <c r="F643" s="26"/>
    </row>
    <row r="644" spans="6:6" ht="22.8">
      <c r="F644" s="26"/>
    </row>
    <row r="645" spans="6:6" ht="22.8">
      <c r="F645" s="26"/>
    </row>
    <row r="646" spans="6:6" ht="22.8">
      <c r="F646" s="26"/>
    </row>
    <row r="647" spans="6:6" ht="22.8">
      <c r="F647" s="26"/>
    </row>
    <row r="648" spans="6:6" ht="22.8">
      <c r="F648" s="26"/>
    </row>
    <row r="649" spans="6:6" ht="22.8">
      <c r="F649" s="26"/>
    </row>
    <row r="650" spans="6:6" ht="22.8">
      <c r="F650" s="26"/>
    </row>
    <row r="651" spans="6:6" ht="22.8">
      <c r="F651" s="26"/>
    </row>
    <row r="652" spans="6:6" ht="22.8">
      <c r="F652" s="26"/>
    </row>
    <row r="653" spans="6:6" ht="22.8">
      <c r="F653" s="26"/>
    </row>
    <row r="654" spans="6:6" ht="22.8">
      <c r="F654" s="26"/>
    </row>
    <row r="655" spans="6:6" ht="22.8">
      <c r="F655" s="26"/>
    </row>
    <row r="656" spans="6:6" ht="22.8">
      <c r="F656" s="26"/>
    </row>
    <row r="657" spans="6:6" ht="22.8">
      <c r="F657" s="26"/>
    </row>
    <row r="658" spans="6:6" ht="22.8">
      <c r="F658" s="26"/>
    </row>
    <row r="659" spans="6:6" ht="22.8">
      <c r="F659" s="26"/>
    </row>
    <row r="660" spans="6:6" ht="22.8">
      <c r="F660" s="26"/>
    </row>
    <row r="661" spans="6:6" ht="22.8">
      <c r="F661" s="26"/>
    </row>
    <row r="662" spans="6:6" ht="22.8">
      <c r="F662" s="26"/>
    </row>
    <row r="663" spans="6:6" ht="22.8">
      <c r="F663" s="26"/>
    </row>
    <row r="664" spans="6:6" ht="22.8">
      <c r="F664" s="26"/>
    </row>
    <row r="665" spans="6:6" ht="22.8">
      <c r="F665" s="26"/>
    </row>
    <row r="666" spans="6:6" ht="22.8">
      <c r="F666" s="26"/>
    </row>
    <row r="667" spans="6:6" ht="22.8">
      <c r="F667" s="26"/>
    </row>
    <row r="668" spans="6:6" ht="22.8">
      <c r="F668" s="26"/>
    </row>
    <row r="669" spans="6:6" ht="22.8">
      <c r="F669" s="26"/>
    </row>
    <row r="670" spans="6:6" ht="22.8">
      <c r="F670" s="26"/>
    </row>
    <row r="671" spans="6:6" ht="22.8">
      <c r="F671" s="26"/>
    </row>
    <row r="672" spans="6:6" ht="22.8">
      <c r="F672" s="26"/>
    </row>
    <row r="673" spans="6:6" ht="22.8">
      <c r="F673" s="26"/>
    </row>
    <row r="674" spans="6:6" ht="22.8">
      <c r="F674" s="26"/>
    </row>
    <row r="675" spans="6:6" ht="22.8">
      <c r="F675" s="26"/>
    </row>
    <row r="676" spans="6:6" ht="22.8">
      <c r="F676" s="26"/>
    </row>
    <row r="677" spans="6:6" ht="22.8">
      <c r="F677" s="26"/>
    </row>
    <row r="678" spans="6:6" ht="22.8">
      <c r="F678" s="26"/>
    </row>
    <row r="679" spans="6:6" ht="22.8">
      <c r="F679" s="26"/>
    </row>
    <row r="680" spans="6:6" ht="22.8">
      <c r="F680" s="26"/>
    </row>
    <row r="681" spans="6:6" ht="22.8">
      <c r="F681" s="26"/>
    </row>
    <row r="682" spans="6:6" ht="22.8">
      <c r="F682" s="26"/>
    </row>
    <row r="683" spans="6:6" ht="22.8">
      <c r="F683" s="26"/>
    </row>
    <row r="684" spans="6:6" ht="22.8">
      <c r="F684" s="26"/>
    </row>
    <row r="685" spans="6:6" ht="22.8">
      <c r="F685" s="26"/>
    </row>
    <row r="686" spans="6:6" ht="22.8">
      <c r="F686" s="26"/>
    </row>
    <row r="687" spans="6:6" ht="22.8">
      <c r="F687" s="26"/>
    </row>
    <row r="688" spans="6:6" ht="22.8">
      <c r="F688" s="26"/>
    </row>
    <row r="689" spans="6:6" ht="22.8">
      <c r="F689" s="26"/>
    </row>
    <row r="690" spans="6:6" ht="22.8">
      <c r="F690" s="26"/>
    </row>
    <row r="691" spans="6:6" ht="22.8">
      <c r="F691" s="26"/>
    </row>
    <row r="692" spans="6:6" ht="22.8">
      <c r="F692" s="26"/>
    </row>
    <row r="693" spans="6:6" ht="22.8">
      <c r="F693" s="26"/>
    </row>
    <row r="694" spans="6:6" ht="22.8">
      <c r="F694" s="26"/>
    </row>
    <row r="695" spans="6:6" ht="22.8">
      <c r="F695" s="26"/>
    </row>
    <row r="696" spans="6:6" ht="22.8">
      <c r="F696" s="26"/>
    </row>
    <row r="697" spans="6:6" ht="22.8">
      <c r="F697" s="26"/>
    </row>
    <row r="698" spans="6:6" ht="22.8">
      <c r="F698" s="26"/>
    </row>
    <row r="699" spans="6:6" ht="22.8">
      <c r="F699" s="26"/>
    </row>
    <row r="700" spans="6:6" ht="22.8">
      <c r="F700" s="26"/>
    </row>
    <row r="701" spans="6:6" ht="22.8">
      <c r="F701" s="26"/>
    </row>
    <row r="702" spans="6:6" ht="22.8">
      <c r="F702" s="26"/>
    </row>
    <row r="703" spans="6:6" ht="22.8">
      <c r="F703" s="26"/>
    </row>
    <row r="704" spans="6:6" ht="22.8">
      <c r="F704" s="26"/>
    </row>
    <row r="705" spans="6:6" ht="22.8">
      <c r="F705" s="26"/>
    </row>
    <row r="706" spans="6:6" ht="22.8">
      <c r="F706" s="26"/>
    </row>
    <row r="707" spans="6:6" ht="22.8">
      <c r="F707" s="26"/>
    </row>
    <row r="708" spans="6:6" ht="22.8">
      <c r="F708" s="26"/>
    </row>
    <row r="709" spans="6:6" ht="22.8">
      <c r="F709" s="26"/>
    </row>
    <row r="710" spans="6:6" ht="22.8">
      <c r="F710" s="26"/>
    </row>
    <row r="711" spans="6:6" ht="22.8">
      <c r="F711" s="26"/>
    </row>
    <row r="712" spans="6:6" ht="22.8">
      <c r="F712" s="26"/>
    </row>
    <row r="713" spans="6:6" ht="22.8">
      <c r="F713" s="26"/>
    </row>
    <row r="714" spans="6:6" ht="22.8">
      <c r="F714" s="26"/>
    </row>
    <row r="715" spans="6:6" ht="22.8">
      <c r="F715" s="26"/>
    </row>
    <row r="716" spans="6:6" ht="22.8">
      <c r="F716" s="26"/>
    </row>
    <row r="717" spans="6:6" ht="22.8">
      <c r="F717" s="26"/>
    </row>
    <row r="718" spans="6:6" ht="22.8">
      <c r="F718" s="26"/>
    </row>
    <row r="719" spans="6:6" ht="22.8">
      <c r="F719" s="26"/>
    </row>
    <row r="720" spans="6:6" ht="22.8">
      <c r="F720" s="26"/>
    </row>
    <row r="721" spans="6:6" ht="22.8">
      <c r="F721" s="26"/>
    </row>
    <row r="722" spans="6:6" ht="22.8">
      <c r="F722" s="26"/>
    </row>
    <row r="723" spans="6:6" ht="22.8">
      <c r="F723" s="26"/>
    </row>
    <row r="724" spans="6:6" ht="22.8">
      <c r="F724" s="26"/>
    </row>
    <row r="725" spans="6:6" ht="22.8">
      <c r="F725" s="26"/>
    </row>
    <row r="726" spans="6:6" ht="22.8">
      <c r="F726" s="26"/>
    </row>
    <row r="727" spans="6:6" ht="22.8">
      <c r="F727" s="26"/>
    </row>
    <row r="728" spans="6:6" ht="22.8">
      <c r="F728" s="26"/>
    </row>
    <row r="729" spans="6:6" ht="22.8">
      <c r="F729" s="26"/>
    </row>
    <row r="730" spans="6:6" ht="22.8">
      <c r="F730" s="26"/>
    </row>
    <row r="731" spans="6:6" ht="22.8">
      <c r="F731" s="26"/>
    </row>
    <row r="732" spans="6:6" ht="22.8">
      <c r="F732" s="26"/>
    </row>
    <row r="733" spans="6:6" ht="22.8">
      <c r="F733" s="26"/>
    </row>
    <row r="734" spans="6:6" ht="22.8">
      <c r="F734" s="26"/>
    </row>
    <row r="735" spans="6:6" ht="22.8">
      <c r="F735" s="26"/>
    </row>
    <row r="736" spans="6:6" ht="22.8">
      <c r="F736" s="26"/>
    </row>
    <row r="737" spans="6:6" ht="22.8">
      <c r="F737" s="26"/>
    </row>
    <row r="738" spans="6:6" ht="22.8">
      <c r="F738" s="26"/>
    </row>
    <row r="739" spans="6:6" ht="22.8">
      <c r="F739" s="26"/>
    </row>
    <row r="740" spans="6:6" ht="22.8">
      <c r="F740" s="26"/>
    </row>
    <row r="741" spans="6:6" ht="22.8">
      <c r="F741" s="26"/>
    </row>
    <row r="742" spans="6:6" ht="22.8">
      <c r="F742" s="26"/>
    </row>
    <row r="743" spans="6:6" ht="22.8">
      <c r="F743" s="26"/>
    </row>
    <row r="744" spans="6:6" ht="22.8">
      <c r="F744" s="26"/>
    </row>
    <row r="745" spans="6:6" ht="22.8">
      <c r="F745" s="26"/>
    </row>
    <row r="746" spans="6:6" ht="22.8">
      <c r="F746" s="26"/>
    </row>
    <row r="747" spans="6:6" ht="22.8">
      <c r="F747" s="26"/>
    </row>
    <row r="748" spans="6:6" ht="22.8">
      <c r="F748" s="26"/>
    </row>
    <row r="749" spans="6:6" ht="22.8">
      <c r="F749" s="26"/>
    </row>
    <row r="750" spans="6:6" ht="22.8">
      <c r="F750" s="26"/>
    </row>
    <row r="751" spans="6:6" ht="22.8">
      <c r="F751" s="26"/>
    </row>
    <row r="752" spans="6:6" ht="22.8">
      <c r="F752" s="26"/>
    </row>
    <row r="753" spans="6:6" ht="22.8">
      <c r="F753" s="26"/>
    </row>
    <row r="754" spans="6:6" ht="22.8">
      <c r="F754" s="26"/>
    </row>
    <row r="755" spans="6:6" ht="22.8">
      <c r="F755" s="26"/>
    </row>
    <row r="756" spans="6:6" ht="22.8">
      <c r="F756" s="26"/>
    </row>
    <row r="757" spans="6:6" ht="22.8">
      <c r="F757" s="26"/>
    </row>
    <row r="758" spans="6:6" ht="22.8">
      <c r="F758" s="26"/>
    </row>
    <row r="759" spans="6:6" ht="22.8">
      <c r="F759" s="26"/>
    </row>
    <row r="760" spans="6:6" ht="22.8">
      <c r="F760" s="26"/>
    </row>
    <row r="761" spans="6:6" ht="22.8">
      <c r="F761" s="26"/>
    </row>
    <row r="762" spans="6:6" ht="22.8">
      <c r="F762" s="26"/>
    </row>
    <row r="763" spans="6:6" ht="22.8">
      <c r="F763" s="26"/>
    </row>
    <row r="764" spans="6:6" ht="22.8">
      <c r="F764" s="26"/>
    </row>
    <row r="765" spans="6:6" ht="22.8">
      <c r="F765" s="26"/>
    </row>
    <row r="766" spans="6:6" ht="22.8">
      <c r="F766" s="26"/>
    </row>
    <row r="767" spans="6:6" ht="22.8">
      <c r="F767" s="26"/>
    </row>
    <row r="768" spans="6:6" ht="22.8">
      <c r="F768" s="26"/>
    </row>
    <row r="769" spans="6:6" ht="22.8">
      <c r="F769" s="26"/>
    </row>
    <row r="770" spans="6:6" ht="22.8">
      <c r="F770" s="26"/>
    </row>
    <row r="771" spans="6:6" ht="22.8">
      <c r="F771" s="26"/>
    </row>
    <row r="772" spans="6:6" ht="22.8">
      <c r="F772" s="26"/>
    </row>
    <row r="773" spans="6:6" ht="22.8">
      <c r="F773" s="26"/>
    </row>
    <row r="774" spans="6:6" ht="22.8">
      <c r="F774" s="26"/>
    </row>
    <row r="775" spans="6:6" ht="22.8">
      <c r="F775" s="26"/>
    </row>
    <row r="776" spans="6:6" ht="22.8">
      <c r="F776" s="26"/>
    </row>
    <row r="777" spans="6:6" ht="22.8">
      <c r="F777" s="26"/>
    </row>
    <row r="778" spans="6:6" ht="22.8">
      <c r="F778" s="26"/>
    </row>
    <row r="779" spans="6:6" ht="22.8">
      <c r="F779" s="26"/>
    </row>
    <row r="780" spans="6:6" ht="22.8">
      <c r="F780" s="26"/>
    </row>
    <row r="781" spans="6:6" ht="22.8">
      <c r="F781" s="26"/>
    </row>
    <row r="782" spans="6:6" ht="22.8">
      <c r="F782" s="26"/>
    </row>
    <row r="783" spans="6:6" ht="22.8">
      <c r="F783" s="26"/>
    </row>
    <row r="784" spans="6:6" ht="22.8">
      <c r="F784" s="26"/>
    </row>
    <row r="785" spans="6:6" ht="22.8">
      <c r="F785" s="26"/>
    </row>
    <row r="786" spans="6:6" ht="22.8">
      <c r="F786" s="26"/>
    </row>
    <row r="787" spans="6:6" ht="22.8">
      <c r="F787" s="26"/>
    </row>
    <row r="788" spans="6:6" ht="22.8">
      <c r="F788" s="26"/>
    </row>
    <row r="789" spans="6:6" ht="22.8">
      <c r="F789" s="26"/>
    </row>
    <row r="790" spans="6:6" ht="22.8">
      <c r="F790" s="26"/>
    </row>
    <row r="791" spans="6:6" ht="22.8">
      <c r="F791" s="26"/>
    </row>
    <row r="792" spans="6:6" ht="22.8">
      <c r="F792" s="26"/>
    </row>
    <row r="793" spans="6:6" ht="22.8">
      <c r="F793" s="26"/>
    </row>
    <row r="794" spans="6:6" ht="22.8">
      <c r="F794" s="26"/>
    </row>
    <row r="795" spans="6:6" ht="22.8">
      <c r="F795" s="26"/>
    </row>
    <row r="796" spans="6:6" ht="22.8">
      <c r="F796" s="26"/>
    </row>
    <row r="797" spans="6:6" ht="22.8">
      <c r="F797" s="26"/>
    </row>
    <row r="798" spans="6:6" ht="22.8">
      <c r="F798" s="26"/>
    </row>
    <row r="799" spans="6:6" ht="22.8">
      <c r="F799" s="26"/>
    </row>
    <row r="800" spans="6:6" ht="22.8">
      <c r="F800" s="26"/>
    </row>
    <row r="801" spans="6:6" ht="22.8">
      <c r="F801" s="26"/>
    </row>
    <row r="802" spans="6:6" ht="22.8">
      <c r="F802" s="26"/>
    </row>
    <row r="803" spans="6:6" ht="22.8">
      <c r="F803" s="26"/>
    </row>
    <row r="804" spans="6:6" ht="22.8">
      <c r="F804" s="26"/>
    </row>
    <row r="805" spans="6:6" ht="22.8">
      <c r="F805" s="26"/>
    </row>
    <row r="806" spans="6:6" ht="22.8">
      <c r="F806" s="26"/>
    </row>
    <row r="807" spans="6:6" ht="22.8">
      <c r="F807" s="26"/>
    </row>
    <row r="808" spans="6:6" ht="22.8">
      <c r="F808" s="26"/>
    </row>
    <row r="809" spans="6:6" ht="22.8">
      <c r="F809" s="26"/>
    </row>
    <row r="810" spans="6:6" ht="22.8">
      <c r="F810" s="26"/>
    </row>
    <row r="811" spans="6:6" ht="22.8">
      <c r="F811" s="26"/>
    </row>
    <row r="812" spans="6:6" ht="22.8">
      <c r="F812" s="26"/>
    </row>
    <row r="813" spans="6:6" ht="22.8">
      <c r="F813" s="26"/>
    </row>
    <row r="814" spans="6:6" ht="22.8">
      <c r="F814" s="26"/>
    </row>
    <row r="815" spans="6:6" ht="22.8">
      <c r="F815" s="26"/>
    </row>
    <row r="816" spans="6:6" ht="22.8">
      <c r="F816" s="26"/>
    </row>
    <row r="817" spans="6:6" ht="22.8">
      <c r="F817" s="26"/>
    </row>
    <row r="818" spans="6:6" ht="22.8">
      <c r="F818" s="26"/>
    </row>
    <row r="819" spans="6:6" ht="22.8">
      <c r="F819" s="26"/>
    </row>
    <row r="820" spans="6:6" ht="22.8">
      <c r="F820" s="26"/>
    </row>
    <row r="821" spans="6:6" ht="22.8">
      <c r="F821" s="26"/>
    </row>
    <row r="822" spans="6:6" ht="22.8">
      <c r="F822" s="26"/>
    </row>
    <row r="823" spans="6:6" ht="22.8">
      <c r="F823" s="26"/>
    </row>
    <row r="824" spans="6:6" ht="22.8">
      <c r="F824" s="26"/>
    </row>
    <row r="825" spans="6:6" ht="22.8">
      <c r="F825" s="26"/>
    </row>
    <row r="826" spans="6:6" ht="22.8">
      <c r="F826" s="26"/>
    </row>
    <row r="827" spans="6:6" ht="22.8">
      <c r="F827" s="26"/>
    </row>
    <row r="828" spans="6:6" ht="22.8">
      <c r="F828" s="26"/>
    </row>
    <row r="829" spans="6:6" ht="22.8">
      <c r="F829" s="26"/>
    </row>
    <row r="830" spans="6:6" ht="22.8">
      <c r="F830" s="26"/>
    </row>
    <row r="831" spans="6:6" ht="22.8">
      <c r="F831" s="26"/>
    </row>
    <row r="832" spans="6:6" ht="22.8">
      <c r="F832" s="26"/>
    </row>
    <row r="833" spans="6:6" ht="22.8">
      <c r="F833" s="26"/>
    </row>
    <row r="834" spans="6:6" ht="22.8">
      <c r="F834" s="26"/>
    </row>
    <row r="835" spans="6:6" ht="22.8">
      <c r="F835" s="26"/>
    </row>
    <row r="836" spans="6:6" ht="22.8">
      <c r="F836" s="26"/>
    </row>
    <row r="837" spans="6:6" ht="22.8">
      <c r="F837" s="26"/>
    </row>
    <row r="838" spans="6:6" ht="22.8">
      <c r="F838" s="26"/>
    </row>
    <row r="839" spans="6:6" ht="22.8">
      <c r="F839" s="26"/>
    </row>
    <row r="840" spans="6:6" ht="22.8">
      <c r="F840" s="26"/>
    </row>
    <row r="841" spans="6:6" ht="22.8">
      <c r="F841" s="26"/>
    </row>
    <row r="842" spans="6:6" ht="22.8">
      <c r="F842" s="26"/>
    </row>
    <row r="843" spans="6:6" ht="22.8">
      <c r="F843" s="26"/>
    </row>
    <row r="844" spans="6:6" ht="22.8">
      <c r="F844" s="26"/>
    </row>
    <row r="845" spans="6:6" ht="22.8">
      <c r="F845" s="26"/>
    </row>
    <row r="846" spans="6:6" ht="22.8">
      <c r="F846" s="26"/>
    </row>
    <row r="847" spans="6:6" ht="22.8">
      <c r="F847" s="26"/>
    </row>
    <row r="848" spans="6:6" ht="22.8">
      <c r="F848" s="26"/>
    </row>
    <row r="849" spans="6:6" ht="22.8">
      <c r="F849" s="26"/>
    </row>
    <row r="850" spans="6:6" ht="22.8">
      <c r="F850" s="26"/>
    </row>
    <row r="851" spans="6:6" ht="22.8">
      <c r="F851" s="26"/>
    </row>
    <row r="852" spans="6:6" ht="22.8">
      <c r="F852" s="26"/>
    </row>
    <row r="853" spans="6:6" ht="22.8">
      <c r="F853" s="26"/>
    </row>
    <row r="854" spans="6:6" ht="22.8">
      <c r="F854" s="26"/>
    </row>
    <row r="855" spans="6:6" ht="22.8">
      <c r="F855" s="26"/>
    </row>
    <row r="856" spans="6:6" ht="22.8">
      <c r="F856" s="26"/>
    </row>
    <row r="857" spans="6:6" ht="22.8">
      <c r="F857" s="26"/>
    </row>
    <row r="858" spans="6:6" ht="22.8">
      <c r="F858" s="26"/>
    </row>
    <row r="859" spans="6:6" ht="22.8">
      <c r="F859" s="26"/>
    </row>
    <row r="860" spans="6:6" ht="22.8">
      <c r="F860" s="26"/>
    </row>
    <row r="861" spans="6:6" ht="22.8">
      <c r="F861" s="26"/>
    </row>
    <row r="862" spans="6:6" ht="22.8">
      <c r="F862" s="26"/>
    </row>
    <row r="863" spans="6:6" ht="22.8">
      <c r="F863" s="26"/>
    </row>
    <row r="864" spans="6:6" ht="22.8">
      <c r="F864" s="26"/>
    </row>
    <row r="865" spans="6:6" ht="22.8">
      <c r="F865" s="26"/>
    </row>
    <row r="866" spans="6:6" ht="22.8">
      <c r="F866" s="26"/>
    </row>
    <row r="867" spans="6:6" ht="22.8">
      <c r="F867" s="26"/>
    </row>
    <row r="868" spans="6:6" ht="22.8">
      <c r="F868" s="26"/>
    </row>
    <row r="869" spans="6:6" ht="22.8">
      <c r="F869" s="26"/>
    </row>
    <row r="870" spans="6:6" ht="22.8">
      <c r="F870" s="26"/>
    </row>
    <row r="871" spans="6:6" ht="22.8">
      <c r="F871" s="26"/>
    </row>
    <row r="872" spans="6:6" ht="22.8">
      <c r="F872" s="26"/>
    </row>
    <row r="873" spans="6:6" ht="22.8">
      <c r="F873" s="26"/>
    </row>
    <row r="874" spans="6:6" ht="22.8">
      <c r="F874" s="26"/>
    </row>
    <row r="875" spans="6:6" ht="22.8">
      <c r="F875" s="26"/>
    </row>
    <row r="876" spans="6:6" ht="22.8">
      <c r="F876" s="26"/>
    </row>
    <row r="877" spans="6:6" ht="22.8">
      <c r="F877" s="26"/>
    </row>
    <row r="878" spans="6:6" ht="22.8">
      <c r="F878" s="26"/>
    </row>
    <row r="879" spans="6:6" ht="22.8">
      <c r="F879" s="26"/>
    </row>
    <row r="880" spans="6:6" ht="22.8">
      <c r="F880" s="26"/>
    </row>
    <row r="881" spans="6:6" ht="22.8">
      <c r="F881" s="26"/>
    </row>
    <row r="882" spans="6:6" ht="22.8">
      <c r="F882" s="26"/>
    </row>
    <row r="883" spans="6:6" ht="22.8">
      <c r="F883" s="26"/>
    </row>
    <row r="884" spans="6:6" ht="22.8">
      <c r="F884" s="26"/>
    </row>
    <row r="885" spans="6:6" ht="22.8">
      <c r="F885" s="26"/>
    </row>
    <row r="886" spans="6:6" ht="22.8">
      <c r="F886" s="26"/>
    </row>
    <row r="887" spans="6:6" ht="22.8">
      <c r="F887" s="26"/>
    </row>
    <row r="888" spans="6:6" ht="22.8">
      <c r="F888" s="26"/>
    </row>
    <row r="889" spans="6:6" ht="22.8">
      <c r="F889" s="26"/>
    </row>
    <row r="890" spans="6:6" ht="22.8">
      <c r="F890" s="26"/>
    </row>
    <row r="891" spans="6:6" ht="22.8">
      <c r="F891" s="26"/>
    </row>
    <row r="892" spans="6:6" ht="22.8">
      <c r="F892" s="26"/>
    </row>
    <row r="893" spans="6:6" ht="22.8">
      <c r="F893" s="26"/>
    </row>
    <row r="894" spans="6:6" ht="22.8">
      <c r="F894" s="26"/>
    </row>
    <row r="895" spans="6:6" ht="22.8">
      <c r="F895" s="26"/>
    </row>
    <row r="896" spans="6:6" ht="22.8">
      <c r="F896" s="26"/>
    </row>
    <row r="897" spans="6:6" ht="22.8">
      <c r="F897" s="26"/>
    </row>
    <row r="898" spans="6:6" ht="22.8">
      <c r="F898" s="26"/>
    </row>
    <row r="899" spans="6:6" ht="22.8">
      <c r="F899" s="26"/>
    </row>
    <row r="900" spans="6:6" ht="22.8">
      <c r="F900" s="26"/>
    </row>
    <row r="901" spans="6:6" ht="22.8">
      <c r="F901" s="26"/>
    </row>
    <row r="902" spans="6:6" ht="22.8">
      <c r="F902" s="26"/>
    </row>
    <row r="903" spans="6:6" ht="22.8">
      <c r="F903" s="26"/>
    </row>
    <row r="904" spans="6:6" ht="22.8">
      <c r="F904" s="26"/>
    </row>
    <row r="905" spans="6:6" ht="22.8">
      <c r="F905" s="26"/>
    </row>
    <row r="906" spans="6:6" ht="22.8">
      <c r="F906" s="26"/>
    </row>
    <row r="907" spans="6:6" ht="22.8">
      <c r="F907" s="26"/>
    </row>
    <row r="908" spans="6:6" ht="22.8">
      <c r="F908" s="26"/>
    </row>
    <row r="909" spans="6:6" ht="22.8">
      <c r="F909" s="26"/>
    </row>
    <row r="910" spans="6:6" ht="22.8">
      <c r="F910" s="26"/>
    </row>
    <row r="911" spans="6:6" ht="22.8">
      <c r="F911" s="26"/>
    </row>
    <row r="912" spans="6:6" ht="22.8">
      <c r="F912" s="26"/>
    </row>
    <row r="913" ht="13.2"/>
  </sheetData>
  <mergeCells count="1">
    <mergeCell ref="A1:G4"/>
  </mergeCells>
  <conditionalFormatting sqref="E17:E19 F20:F912">
    <cfRule type="containsText" dxfId="1" priority="5" operator="containsText" text="نجح">
      <formula>NOT(ISERROR(SEARCH(("نجح"),(E17))))</formula>
    </cfRule>
    <cfRule type="containsText" dxfId="0" priority="6" operator="containsText" text="فشل">
      <formula>NOT(ISERROR(SEARCH(("فشل"),(E17))))</formula>
    </cfRule>
  </conditionalFormatting>
  <dataValidations count="2">
    <dataValidation showDropDown="1" showInputMessage="1" showErrorMessage="1" sqref="D6:E6 B8:C8" xr:uid="{FF8B1980-BEB2-4ED7-A0E1-E78EF9A67A4D}"/>
    <dataValidation type="list" allowBlank="1" showInputMessage="1" showErrorMessage="1" sqref="G16:G19" xr:uid="{A70B082A-8183-46CB-8E65-78868138901C}">
      <formula1>$O$10:$O$11</formula1>
    </dataValidation>
  </dataValidations>
  <pageMargins left="0.7" right="0.7" top="0.75" bottom="0.75" header="0.3" footer="0.3"/>
  <pageSetup paperSize="9" orientation="portrait"/>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13c5b18-ca04-46a4-87bc-ea3677f99d09">
      <Terms xmlns="http://schemas.microsoft.com/office/infopath/2007/PartnerControls"/>
    </lcf76f155ced4ddcb4097134ff3c332f>
    <TaxCatchAll xmlns="21974170-737b-497c-8d25-cc5623e7d17e" xsi:nil="true"/>
    <SharedWithUsers xmlns="21974170-737b-497c-8d25-cc5623e7d17e">
      <UserInfo>
        <DisplayName>Abdullah Alyousef</DisplayName>
        <AccountId>24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9AF9983A525A42A82800F2C7EA8DCA" ma:contentTypeVersion="14" ma:contentTypeDescription="Create a new document." ma:contentTypeScope="" ma:versionID="33ea53214a66fe9a8a10b8256ed7945f">
  <xsd:schema xmlns:xsd="http://www.w3.org/2001/XMLSchema" xmlns:xs="http://www.w3.org/2001/XMLSchema" xmlns:p="http://schemas.microsoft.com/office/2006/metadata/properties" xmlns:ns2="213c5b18-ca04-46a4-87bc-ea3677f99d09" xmlns:ns3="21974170-737b-497c-8d25-cc5623e7d17e" targetNamespace="http://schemas.microsoft.com/office/2006/metadata/properties" ma:root="true" ma:fieldsID="29ebd81a896bf1282c88ca6529745dec" ns2:_="" ns3:_="">
    <xsd:import namespace="213c5b18-ca04-46a4-87bc-ea3677f99d09"/>
    <xsd:import namespace="21974170-737b-497c-8d25-cc5623e7d1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3c5b18-ca04-46a4-87bc-ea3677f99d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07f7f4f1-51ea-4b4e-9497-7fdb743a22f2"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974170-737b-497c-8d25-cc5623e7d17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ec9b893-25e3-46b7-a2f5-4cce4d3eff13}" ma:internalName="TaxCatchAll" ma:showField="CatchAllData" ma:web="21974170-737b-497c-8d25-cc5623e7d17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9B229F-FCFF-4AA1-8EA1-B62AED0DFF8F}">
  <ds:schemaRefs>
    <ds:schemaRef ds:uri="http://schemas.microsoft.com/office/2006/metadata/properties"/>
    <ds:schemaRef ds:uri="http://schemas.microsoft.com/office/infopath/2007/PartnerControls"/>
    <ds:schemaRef ds:uri="213c5b18-ca04-46a4-87bc-ea3677f99d09"/>
    <ds:schemaRef ds:uri="21974170-737b-497c-8d25-cc5623e7d17e"/>
  </ds:schemaRefs>
</ds:datastoreItem>
</file>

<file path=customXml/itemProps2.xml><?xml version="1.0" encoding="utf-8"?>
<ds:datastoreItem xmlns:ds="http://schemas.openxmlformats.org/officeDocument/2006/customXml" ds:itemID="{04C8D272-77E8-4B4D-8F3A-C59089C0765E}">
  <ds:schemaRefs>
    <ds:schemaRef ds:uri="http://schemas.microsoft.com/sharepoint/v3/contenttype/forms"/>
  </ds:schemaRefs>
</ds:datastoreItem>
</file>

<file path=customXml/itemProps3.xml><?xml version="1.0" encoding="utf-8"?>
<ds:datastoreItem xmlns:ds="http://schemas.openxmlformats.org/officeDocument/2006/customXml" ds:itemID="{51BD5F1A-759B-487C-9AAF-4B014D5B3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3c5b18-ca04-46a4-87bc-ea3677f99d09"/>
    <ds:schemaRef ds:uri="21974170-737b-497c-8d25-cc5623e7d1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رابط النظام وقائمة المستخدمين</vt:lpstr>
      <vt:lpstr>اسناد مهمة شخصية</vt:lpstr>
      <vt:lpstr>اسناد مهمة لموظف</vt:lpstr>
      <vt:lpstr>اسناد مهمة لفريق</vt:lpstr>
      <vt:lpstr>اسناد مهمه لمنصب خاص</vt:lpstr>
      <vt:lpstr>امكانية اسناد مهمة الى اخرين</vt:lpstr>
      <vt:lpstr>مهمة مسندة الى اخرين</vt:lpstr>
      <vt:lpstr>اسناد مهمه لممثل الادارة </vt:lpstr>
      <vt:lpstr>التفويض</vt:lpstr>
      <vt:lpstr>لوحة المعلومات</vt:lpstr>
      <vt:lpstr>التقارير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Reyouf Alharbi</dc:creator>
  <cp:keywords/>
  <dc:description/>
  <cp:lastModifiedBy>Esraa Almihyani</cp:lastModifiedBy>
  <cp:revision/>
  <dcterms:created xsi:type="dcterms:W3CDTF">2022-10-20T12:58:19Z</dcterms:created>
  <dcterms:modified xsi:type="dcterms:W3CDTF">2025-11-03T08:45:23Z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0x010100AD9AF9983A525A42A82800F2C7EA8DCA</vt:lpwstr>
  </property>
  <property fmtid="{D5CDD505-2E9C-101B-9397-08002B2CF9AE}" pid="3" name="MediaServiceImageTags">
    <vt:lpwstr/>
  </property>
</Properties>
</file>