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8.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9.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L\Documents\Files\"/>
    </mc:Choice>
  </mc:AlternateContent>
  <xr:revisionPtr revIDLastSave="0" documentId="13_ncr:1_{FD498DB4-09B5-461F-9C0F-98E2621CF40F}" xr6:coauthVersionLast="47" xr6:coauthVersionMax="47" xr10:uidLastSave="{00000000-0000-0000-0000-000000000000}"/>
  <bookViews>
    <workbookView xWindow="28680" yWindow="-120" windowWidth="29040" windowHeight="15720" tabRatio="670" xr2:uid="{00000000-000D-0000-FFFF-FFFF00000000}"/>
  </bookViews>
  <sheets>
    <sheet name="رابط النظام وقائمة المستخدمين" sheetId="89" r:id="rId1"/>
    <sheet name="لوحة المعلومات" sheetId="94" r:id="rId2"/>
    <sheet name="مقترح تشكيل لجنة" sheetId="97" r:id="rId3"/>
    <sheet name="ادارة اللجان الداخلية " sheetId="91" r:id="rId4"/>
    <sheet name="ادارة اللجان الخارجية" sheetId="87" r:id="rId5"/>
    <sheet name="ادارة المجالس" sheetId="86" r:id="rId6"/>
    <sheet name="مهمة مسندة الى اخرين" sheetId="82" state="hidden" r:id="rId7"/>
    <sheet name="ادارة الاجتماعات" sheetId="88" r:id="rId8"/>
    <sheet name="التفويض" sheetId="95" r:id="rId9"/>
    <sheet name="التقارير" sheetId="96" r:id="rId10"/>
  </sheets>
  <externalReferences>
    <externalReference r:id="rId11"/>
  </externalReferences>
  <definedNames>
    <definedName name="_PassFail">[1]_Values_!$U$3:$U$5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 i="97" l="1"/>
  <c r="O10" i="97"/>
  <c r="P12" i="88"/>
  <c r="P10" i="88"/>
  <c r="P12" i="96"/>
  <c r="P12" i="95"/>
  <c r="P10" i="95"/>
  <c r="O12" i="94"/>
  <c r="O10" i="94"/>
  <c r="O12" i="91"/>
  <c r="O10" i="91"/>
  <c r="O10" i="87"/>
  <c r="O12" i="87"/>
  <c r="P12" i="86"/>
  <c r="R10" i="86"/>
  <c r="P10" i="86"/>
  <c r="R9" i="86"/>
  <c r="R8" i="86"/>
  <c r="R7" i="86"/>
  <c r="P11" i="82"/>
  <c r="R10" i="82"/>
  <c r="P10" i="82"/>
  <c r="R9" i="82"/>
  <c r="R8" i="82"/>
  <c r="R7" i="82"/>
</calcChain>
</file>

<file path=xl/sharedStrings.xml><?xml version="1.0" encoding="utf-8"?>
<sst xmlns="http://schemas.openxmlformats.org/spreadsheetml/2006/main" count="628" uniqueCount="281">
  <si>
    <t xml:space="preserve">سيناريو اختبار النظام </t>
  </si>
  <si>
    <t>URL</t>
  </si>
  <si>
    <t>الإسم</t>
  </si>
  <si>
    <t>اسم المستخدم</t>
  </si>
  <si>
    <t>كلمة المرور</t>
  </si>
  <si>
    <t>الإدارة</t>
  </si>
  <si>
    <t>المنصب</t>
  </si>
  <si>
    <t>ممثل الإدارة</t>
  </si>
  <si>
    <t xml:space="preserve">مدير النظام </t>
  </si>
  <si>
    <t>Admin  </t>
  </si>
  <si>
    <t>Admin</t>
  </si>
  <si>
    <t xml:space="preserve">إدارة النظام </t>
  </si>
  <si>
    <t>لا</t>
  </si>
  <si>
    <t>A</t>
  </si>
  <si>
    <t>إدارة تقنية المعلومات</t>
  </si>
  <si>
    <t xml:space="preserve">مطور أنظمة </t>
  </si>
  <si>
    <t>نعم</t>
  </si>
  <si>
    <t>B</t>
  </si>
  <si>
    <t xml:space="preserve">المدير العام </t>
  </si>
  <si>
    <t>C</t>
  </si>
  <si>
    <t>الإدارة العامة لحلول الاعمال</t>
  </si>
  <si>
    <t>محلل اعمال</t>
  </si>
  <si>
    <t>هند المطيري</t>
  </si>
  <si>
    <t>D</t>
  </si>
  <si>
    <t xml:space="preserve">D </t>
  </si>
  <si>
    <t>K</t>
  </si>
  <si>
    <t>E</t>
  </si>
  <si>
    <t>الإدارة العامة للبنية التحتية الرقمية</t>
  </si>
  <si>
    <t>W</t>
  </si>
  <si>
    <t>F</t>
  </si>
  <si>
    <t>G</t>
  </si>
  <si>
    <t>الإدارة العامة لدعم الخدمات الرقمية</t>
  </si>
  <si>
    <t>H</t>
  </si>
  <si>
    <t>اللجان  الداخليه</t>
  </si>
  <si>
    <t>دور مركزي</t>
  </si>
  <si>
    <t xml:space="preserve">دور رئيس اللجة </t>
  </si>
  <si>
    <t xml:space="preserve">دور امين اللجنة </t>
  </si>
  <si>
    <t>دور عضو لجنه (عضو رئيسي - عضو بديل)</t>
  </si>
  <si>
    <t xml:space="preserve">عضو رئيسي </t>
  </si>
  <si>
    <t xml:space="preserve">B </t>
  </si>
  <si>
    <t>عضو بديل</t>
  </si>
  <si>
    <t>اللجان  الخارجية</t>
  </si>
  <si>
    <t xml:space="preserve">دور عضو لجنه </t>
  </si>
  <si>
    <t xml:space="preserve">رئيس لجنه </t>
  </si>
  <si>
    <t xml:space="preserve">F </t>
  </si>
  <si>
    <t xml:space="preserve">نعم </t>
  </si>
  <si>
    <t xml:space="preserve">عضو امين </t>
  </si>
  <si>
    <t>عضو عادي</t>
  </si>
  <si>
    <t xml:space="preserve">المجالس </t>
  </si>
  <si>
    <t xml:space="preserve">دور رئيس المجلس </t>
  </si>
  <si>
    <t xml:space="preserve">دور امين المجلس </t>
  </si>
  <si>
    <t xml:space="preserve">دور عضو المجلس </t>
  </si>
  <si>
    <t>عضو امين</t>
  </si>
  <si>
    <t>الاجتماعات</t>
  </si>
  <si>
    <t>دور رئيس الاجتماع</t>
  </si>
  <si>
    <t xml:space="preserve">دور امين الاجتماع </t>
  </si>
  <si>
    <t xml:space="preserve">دور عضو الاجتماع </t>
  </si>
  <si>
    <t xml:space="preserve">رئيس اجتماع </t>
  </si>
  <si>
    <t>اجتماع دوري (فريق العمل)</t>
  </si>
  <si>
    <t xml:space="preserve">دور رئيس الفريق   </t>
  </si>
  <si>
    <t xml:space="preserve">دور سكرتير الفريق </t>
  </si>
  <si>
    <t>دور عضو فريق العمل</t>
  </si>
  <si>
    <t>رئيس الفريق</t>
  </si>
  <si>
    <t xml:space="preserve">سكرتير </t>
  </si>
  <si>
    <t>عضو فريق</t>
  </si>
  <si>
    <t>اسم النظام</t>
  </si>
  <si>
    <t xml:space="preserve">إدارة اللجان والمجالس </t>
  </si>
  <si>
    <t>وصف سيناريو الإختبار</t>
  </si>
  <si>
    <t>لوحة المعلومات</t>
  </si>
  <si>
    <t>نجح</t>
  </si>
  <si>
    <t>فشل</t>
  </si>
  <si>
    <t>رقم</t>
  </si>
  <si>
    <t>شروط مسبقة</t>
  </si>
  <si>
    <t xml:space="preserve">وصف حالة الاختبار </t>
  </si>
  <si>
    <t xml:space="preserve">حالات الاختبار  </t>
  </si>
  <si>
    <t>النتائج المتوقعة</t>
  </si>
  <si>
    <t xml:space="preserve">النتائج الفعلية </t>
  </si>
  <si>
    <t>نتائج الإختبار</t>
  </si>
  <si>
    <t xml:space="preserve"> تسجيل الدخول الى نظام إدارة اللجان  
 اسم المستخدم: A
كلمة السر:1</t>
  </si>
  <si>
    <t xml:space="preserve">عند الانتقال الى صفحة لوحة المعلومات من القائمة الجانبية يتم استعراض الاتي:- 
- عدد الاجتماعات (الكل - القادمة - المنتهية) مع استعراض مراجعة المحاضر في رسم بياني والاجتماعات السابقة في قائمة 
- قائمة اللجان والمجالس 
- قائمة التصويت والاستفتاءات 
-قائمة المهام وبنود العمل
-قائمة مراجعة المحاضر
</t>
  </si>
  <si>
    <t xml:space="preserve">استعراض البيانات بنجاح </t>
  </si>
  <si>
    <t xml:space="preserve">مقترح تشكيل لجنة </t>
  </si>
  <si>
    <t>تسجيل الدخول الى إدارة اللجان والمجالس 
اسم المستخدم:A
كلمة المرور: 1</t>
  </si>
  <si>
    <t xml:space="preserve">الانتقال الى القائمة الجانبية على يمين الشاشة والنقر على "مقترح تشكيل لجنة"
يتم استعراض جميع مقترحات تشكيل لجنة من خلال مجلد اللجان"طلبات اقترح تشكيل لجنة"
وسيتم عرض جميع طلبات مقترح تشكيل لجنةوعند اختيار مقترح تشكيل لجنة ومن خلال النقر على زر "الاوامر" الاستعراض يتم(قبول المقترح او رفض)
</t>
  </si>
  <si>
    <t xml:space="preserve">الاطلاع على مقترح تشكيل لجنة </t>
  </si>
  <si>
    <t>قبول مقترح تشكيل لجنة</t>
  </si>
  <si>
    <t xml:space="preserve">عند قبول المقترح يتم تحديث حالة المقترح الى" مقبول" ويتم انتقال المقترح تلقائيا في ادارة اللجان لإستكمال البيانات ونشر اللجنة 
</t>
  </si>
  <si>
    <t xml:space="preserve"> تحديث حالة قبول مقترح تشكيل لجنة</t>
  </si>
  <si>
    <t xml:space="preserve">رفض مقترح تشكيل لجنة </t>
  </si>
  <si>
    <t>عند الرفض يتم تحديث حالة المقترح الى "رفض" ومع استعراض سبب الرفض ويتم ارسال المقترح لمنشئ الطلب ويتم استعراضه في مجلد مقترح تشكيل لجنة</t>
  </si>
  <si>
    <t xml:space="preserve">تحديث حالة رفض مقترح تشكيل لجنة </t>
  </si>
  <si>
    <t>ادارة اللجان الداخلية</t>
  </si>
  <si>
    <t>إنشاء لجنة جديدة داخلية</t>
  </si>
  <si>
    <t xml:space="preserve">الانتقال الى القائمة الجانبية على يمين الشاشة والنقر على "اللجان" ويتم استعراض قائمة منسدلة واختيار إدارة اللجان 
عند اختيار ادارة اللجان يتم استعراض قائمة باللجان السابقة ويمكن انشاء لجنة جديدة من خلال النقر على زر "إنشاء لجنة جديدة" ويتم تعبئة الاتي:
1- بيانات اللجنة( اسم اللجنة( لجنة الشؤون التقنية) -النوع"داخلية او خارجية" عند تحديد داخلية يتم استعراض الحقول الاتية لتعبيئتها:
-الادارات "يتم عرض قائمة منسدلة بادارات النظام"
-الاعضاء "يتم عرض قائمة منسدلة باعضاء الادارات المختاره" يتم اشعار الكتروني مسؤول الادارة 
- تعبئة بيانات اللجنة ومن ثم النقر على "حفظ" </t>
  </si>
  <si>
    <t>امكانية انشاء لجنة</t>
  </si>
  <si>
    <t xml:space="preserve">تتبع حالة طلبات الترشيح-ادارة اللجان </t>
  </si>
  <si>
    <t xml:space="preserve">من خلال النقر على تبويب تتبع حالة طلبات الترشيح يتم استعراض حالة الادارات التي تم ترشيحها واعضاء الادارة وممثل الادارة الذي قام بتاكيد الترشيح </t>
  </si>
  <si>
    <t>امكانية تتبع حالة طلبات الترشيح من قبل الدور المركزي</t>
  </si>
  <si>
    <t>تسجيل الدخول الى إدارة اللجان والمجالس 
اسم المستخدم D
كلمة المرور: 1
(ممثل الادارة )</t>
  </si>
  <si>
    <t xml:space="preserve">طلب الترشيح-ادارة اللجان </t>
  </si>
  <si>
    <t xml:space="preserve">
الانتقال الى القائمة الجانبية على يمين الشاشة والنقر على "اللجان" ويتم استعراض قائمة منسدلة واختيار طلبات الترشيح، ليتم استعراض صفحة بقائمة طلبات الترشيح :
1- اختيار اللجنة التي تم انشائها ( لجنة الشؤون التقنية) والنقر على زر "التفاصيل" لاستعراض بيانات اللجنة و محاضر اللجان التابعة، وزر "المرشحين" لتأكيد ترشيح اعضاء الادارة من قبل ممثل الادارة:
- اعتماد ترشيح العضو والنقر على "تاكيد الترشيح"
- او النقر على "اعادة ترشيح" لاعادة اختيار العضو الاساسي او العضو البديل مع كتابة الملاحظة 
وسيتم تحديث حالة الترشيح في تتبع حالة طلبات الترشيح عند منشئ اللجنة</t>
  </si>
  <si>
    <t>تأكيد طلب الترشيح من قبل ممثل الادارة</t>
  </si>
  <si>
    <t>ادارة اللجان لجان داخلية-الاعضاء</t>
  </si>
  <si>
    <r>
      <rPr>
        <sz val="16"/>
        <color rgb="FF000000"/>
        <rFont val="Tahoma"/>
        <family val="2"/>
      </rPr>
      <t xml:space="preserve"> بعد تأكيد ترشيح  الاعضاء من طلبات الترشيح يمكن الانتقال الى القائمة الجانبية على يمين الشاشة والنقر على "اللجان" ويتم استعراض قائمة منسدلة واختيار إدارة اللجان 
1-  اختيار اللجنة التي تم انشائها ( لجنة الشؤون التقنية) والنقر على زر "الاوامر" لتظهر قائمة منسدلة تحتوي على "تعديل-حذف-نشر-اغلاق"و لاكمال انشاء اللجنة اختيار</t>
    </r>
    <r>
      <rPr>
        <b/>
        <sz val="16"/>
        <color rgb="FF000000"/>
        <rFont val="Tahoma"/>
        <family val="2"/>
      </rPr>
      <t xml:space="preserve">"تعديل"
</t>
    </r>
    <r>
      <rPr>
        <sz val="16"/>
        <color rgb="FF000000"/>
        <rFont val="Tahoma"/>
        <family val="2"/>
      </rPr>
      <t xml:space="preserve">2- الانتقال الى تبويب اعضاء اللجنة 
وتغيير مناصب الاعضاء  الى"رئيس اللجنة او امين اللجنة او عضو اللجنة"
وامكانية تعديل نوع العضوية "دائمة او موقتة"
وامكانية حق التصويت"يستطيع التصويت ام لا"
النقر على "حفظ" ليتم تعديل البيانات
امكانية استبعاد عضو من خلال النقر على زر" استبعاد "
يتم ظهور تبويبة لاضافة سبب الاستبعاد وارفاق صورة من السند النظامي ومن ثم  النقر على "تأكيد"
</t>
    </r>
  </si>
  <si>
    <t xml:space="preserve">امكانية اضافةالاعضاء او استبعاد عضو </t>
  </si>
  <si>
    <t>ادارة اللجان لجان داخلية- اللجان المرتبطة</t>
  </si>
  <si>
    <t xml:space="preserve">يتم الانتقال الى تبويب اللجان المرتبطة 
من خلال النقر على(+ اضافة) يمكن ربط لجنة بلجنة اخرى بشكل اختياري </t>
  </si>
  <si>
    <t>امكانية اضافة لجنة مرتبطه</t>
  </si>
  <si>
    <t xml:space="preserve">ادارة اللجان لجان داخلية - تحديد صيغ مخرجات اللجنة </t>
  </si>
  <si>
    <t xml:space="preserve">يتم الانتقال الى تبويب تحديد صيغ مخرجات اللجنة 
وامكانية تحديد صيغ ملفات مخرجات اللجنة"pdf.docx.jpg.png.tif.tiff"ومن ثم النقر على حفظ </t>
  </si>
  <si>
    <t xml:space="preserve">تحديد صيغ مخرجات اللجنة </t>
  </si>
  <si>
    <t xml:space="preserve">ادارة اللجان لجان داخلية - الوثائق </t>
  </si>
  <si>
    <t xml:space="preserve">يتم الانتقال الى تبويب الوثائق 
من خلال النقر على(+ اضافة) يمكن اضافة الوثائق بشكل اختياري 
ويتم استعراض صورة من السند النظامي وملف التقيم الذاتي في تبويب الوثائق 
</t>
  </si>
  <si>
    <t>امكانية اضافة وثائق للجنة</t>
  </si>
  <si>
    <t>ادارة اللجان لجان داخلية- بيانات اللجنة</t>
  </si>
  <si>
    <t xml:space="preserve">يمكن اجراء عدة اجراءات على بيانات اللجنة كالاتي كدور مركزي :
1- امكانية تعديل بيانات اللجنة قبل النشر عند النقر على زر "تعديل"
2- امكانية نشر اللجنة عند النقر على زر "نشر"
3- امكانية حذف اللجنة عند النقر على زر"حذف" </t>
  </si>
  <si>
    <t xml:space="preserve">امكانية نشر او حذف اللجنة </t>
  </si>
  <si>
    <t xml:space="preserve">ادارة اللجان لجان داخلية- نشر اللجنة </t>
  </si>
  <si>
    <t xml:space="preserve">بعد اضافة بيانات اللجنة بنجاح  يمكن نشر اللجنه عند الانتقال الى ادارة اللجان واختيار اللجنة والنقر على زر "الاوامر" وسيتم استعراض (نشر - تعديل - حذف) 
 النقر على زر "نشر"  ليتم نشر اللجنة الى الاعضاء وارسال بريد الكتروني بعضوية لجنة </t>
  </si>
  <si>
    <t xml:space="preserve">ادارة اللجان لجنة داخلية - تمديد اللجنة </t>
  </si>
  <si>
    <t xml:space="preserve">
في حال قارب تاريخ اللجنة على الانتهاء يتم اشعار الدور المركزي في البريد الالكتروني بامكانية تمديد اللجنة 
بعد الانتقال الى القائمة الجانبية على يمين الشاشة والنقر على "اللجنة" ويتم استعراض قائمة منسدلة واختيار تمديد اللجنة
يتم طلب تمديد اللجنة من خلال تعبئة بيانات اللجنة وتحديد تاريخ انتهاء  التشكيل  مع ارفاق السند النظامي  
يتم اشعار منشئ اللجنة على البريد الالكتروني بتاكيد تمديد اللجنة  وتحديث تاريخ انتهاء التشكيل
</t>
  </si>
  <si>
    <t>امكانية تمديد اللجنة</t>
  </si>
  <si>
    <t xml:space="preserve">طلبات استبعاد </t>
  </si>
  <si>
    <t xml:space="preserve">امكانية استبعاد العضو عن طريق زر " الاستبعاد" لتظهر نافذه "تأكيد" الاستبعاد مع ذكر السبب من قبل عند تقديم طلب من رئيس لو امين اللجنة (صاحب الصلاحية)
ويمكن استعراض طلب الاستبعاد عن طريق القائمة الجانبية على يمين الشاشة والنقر على اللجان واختيار " طلبات الاستبعاد" 
وعند النقر سيتم عرض قائمة بطلبات الاستبعاد متضمنه البيانات الاتيه: 
1- الاسم الكامل
2- اللجنة 
3- صفة العضو في اللجنة 
4- سبب الاستبعاد 
5- الادارة 
6- صورة من السند النظامي 
7-التفاصيل
تأكيد موافقة الاستبعاد من اللجنه "النقر على استبعاد ومن ثم تاكيد الاستبعاد" من قبل الدور المركزي </t>
  </si>
  <si>
    <t xml:space="preserve">امكانية استبعاد الاعضاء </t>
  </si>
  <si>
    <t xml:space="preserve">اغلاق اللجنة </t>
  </si>
  <si>
    <r>
      <rPr>
        <sz val="16"/>
        <color rgb="FF000000"/>
        <rFont val="Tahoma"/>
        <family val="2"/>
      </rPr>
      <t>بعد الانتهاء من اعمال اللجنه يمكن اغلاق اللجنه  عن طريق (</t>
    </r>
    <r>
      <rPr>
        <b/>
        <sz val="16"/>
        <color rgb="FF000000"/>
        <rFont val="Tahoma"/>
        <family val="2"/>
      </rPr>
      <t>امين اللجنة او صاحب الصلاحية)</t>
    </r>
    <r>
      <rPr>
        <sz val="16"/>
        <color rgb="FF000000"/>
        <rFont val="Tahoma"/>
        <family val="2"/>
      </rPr>
      <t xml:space="preserve"> ويتم الانتقال اليها من زر "استعراض اللجنه" والنقر على تبويب اغلاق لجنة يتم النقر على زر " رفع مسوغات الاغلاق" ليتم فتح نافذة وكتابة اسم الملف وتحديد الملف
ومن ثم النقر على" حفظ"
- لايظهر تبويب اغلاق اللجنه عند الامين الا بعد اضافة محضر لجنة او محضر اجتماع اللجنة</t>
    </r>
  </si>
  <si>
    <t xml:space="preserve">امكانية طلب اغلاق اللجنة من قبل امين اللجنة </t>
  </si>
  <si>
    <t>ؤ</t>
  </si>
  <si>
    <t xml:space="preserve">طلبات اغلاق اللجنة </t>
  </si>
  <si>
    <t xml:space="preserve">يتم استعراض طلبات اغلاق اللجنة الى الدور المركزي من خلال اللجان "طلبات اغلاق لجنة" ويتم عرض اللجنة والتفاصيل ومن ثم يتم (الموافقة او الرفض او اعادة الطلب ) على الاغلاق وعند الموافقة يتم ارسال ملف التقييم الذاتي للاعضاء تلقائيا
</t>
  </si>
  <si>
    <t xml:space="preserve">تأكيد طلب اغلاق اللجنة من قبل الدور المركزي </t>
  </si>
  <si>
    <t>اللجان - التقييم الذاتي</t>
  </si>
  <si>
    <t>بعد ارفاق مسوغات الاغلاق ورفع التقييم الذاتي من قبل الاعضاء يمكن للرئيس او الامين  يالانتقال الى القائمة الجانبية على يمين الشاشة والنقر على "مجلد اللجان"  "التقيم الذاتي" ومن ثم"مراجعة التقيم الذاتي" يتم استعراض اللجان ومن ثم النقر على التفاصيل  لاضافة نسبة التقييم ومن ثم "حفظ"
بعد مراجعة التقييم الذاتي يتم اغلاق اللجنة بنجاح ويتم تحديث حالة اللجنة الى "مغلقة-غير نشطة"</t>
  </si>
  <si>
    <t>امكانية رفع و مراجعة التقيم</t>
  </si>
  <si>
    <t xml:space="preserve">ميثاق بحكم النظام </t>
  </si>
  <si>
    <t>لإنشاء ميثاق جديد، الانتقال الى مجلد ميثاق بحكم النظام، والنقر على إنشاء ميثاق جديد، ويتم ادخال البيانات يدويا، ثم النقر على زر "حفظ". ويتم استخدام الميثاق تلقائيًا كـ "تصنيف تابع" عند إنشاء لجنة جديدة</t>
  </si>
  <si>
    <t>امكانية انشاء ميثاق بحكم النظام</t>
  </si>
  <si>
    <t>ادارة اللجان الخارجية</t>
  </si>
  <si>
    <t xml:space="preserve">إنشاء لجنة جديدة خارجية </t>
  </si>
  <si>
    <t xml:space="preserve">الانتقال الى القائمة الجانبية على يمين الشاشة والنقر على "اللجان" ويتم استعراض قائمة منسدلة واختيار إدارة اللجان 
عند اختيار ادارة اللجان يتم استعراض قائمة باللجان السابقة ويمكن انشاء لجنة جديدة من خلال النقر على زر "إنشاء لجنة جديدة" ويتم تعبئة الاتي:
1-  ادخال اسم اللجنة:( لجنة الشوون المالية)
2- اختيار نوع اللجنة:( لجنة خارجية)
3- تعبئة بيانات اللجنة ومن ثم النقر على "حفظ" </t>
  </si>
  <si>
    <t>ادارة اللجان لجان خارجية-الاعضاء</t>
  </si>
  <si>
    <r>
      <rPr>
        <sz val="16"/>
        <color rgb="FF000000"/>
        <rFont val="Tahoma"/>
        <family val="2"/>
      </rPr>
      <t xml:space="preserve">عند النقر على تبويبة "الاعضاء" ومن ثم النقر على زر اضافة اعضاء يتم اضافة  الاعضاء المسجلين بالنظام 
او النقر على زر"إرسال بريد الكتروني"لارسال اشعار للاعضاء 
عند النقر على زر </t>
    </r>
    <r>
      <rPr>
        <b/>
        <sz val="16"/>
        <color rgb="FF000000"/>
        <rFont val="Tahoma"/>
        <family val="2"/>
      </rPr>
      <t>" اضافة عضو خارجي"</t>
    </r>
    <r>
      <rPr>
        <sz val="16"/>
        <color rgb="FF000000"/>
        <rFont val="Tahoma"/>
        <family val="2"/>
      </rPr>
      <t xml:space="preserve"> يمكن اضافة عضو خارج الادارة ويتم تعبئة الاتي: يظهر "زر اضافة عضو خارجي" عند تحديد اللجنة بعضوية رئيس (رئاسه)
1- الاسم الاول (حقل اجباري) 
2- اسم العائلة (حقل اجباري) 
3- اسم المستخدم (حقل اجباري) 
4- البريد الالكتروني ( حقل اجباري) 
5- المنصب (حقل اجباري)
6- الجهة: (حقل اختياري)
7- اللقب: (حقل اختياري)
8- مجالات الخبرة (حقل اختياري)
9- رقم الهاتف المحمول (حقل اختياري)
10- العنوان (حقل اختياري)
11- المدينة (حقل اختياري) 
12- الدولة (حقل اختياري) 
13- النقر على زر "تأكيد"
وسيتم اضافة العضو الخارجي وتسجيله في النظام كعضو خارجي 
 </t>
    </r>
  </si>
  <si>
    <t>امكانية اضافة الاعضاء</t>
  </si>
  <si>
    <t>عند اضافة اعضاء يمكن تعديل المنصب الى"رئيس اللجنة او امين اللجنة او عضو اللجنة"
وامكانية تعديل نوع العضوية "دائمة او موقتة"
وامكانية حق التصويت"يستطيع التصويت ام لا"
النقر على "حفظ" ليتم تعديل البيانات</t>
  </si>
  <si>
    <t>ادارة اللجان لجان خارجية- اللجان المرتبطة</t>
  </si>
  <si>
    <t xml:space="preserve">من خلال النقر على(+ اضافة) يمكن اضافة اللجان المرتبطه بشكل اختياري </t>
  </si>
  <si>
    <t>يتم الانتقال الى تبويب تحديد صيغ مخرجات اللجنة 
وامكانية تحديد صيغ ملفات مخرجات اللجنة"pdf.docx.jpg.png.tif.tiff"ومن ثم النقر على "حفظ "</t>
  </si>
  <si>
    <t xml:space="preserve">ادارة اللجان لجان خارجية - الوثائق </t>
  </si>
  <si>
    <t>بعد اضافة بيانات اللجنة بنجاح  يمكن نشر اللجنه عند النقر على زر "حفظ"</t>
  </si>
  <si>
    <t>ادارة اللجان لجان خارجية-بيانات اللجنة</t>
  </si>
  <si>
    <t xml:space="preserve">يمكن اجراء عدة اجراءات على بيانات اللجنة كالاتي كدور مركزي :
1- امكانية تعديل بيانات اللجنة قبل النشر عند النقر على زر "تعديل"
2- امكانية حذف اللجنة عند النقر على زر"حذف" </t>
  </si>
  <si>
    <t xml:space="preserve">تمديد اللجنة </t>
  </si>
  <si>
    <t xml:space="preserve">في حال قارب تاريخ اللجنة على الانتهاء يتم اشعار الدور المركزي في البريد الالكتروني بامكانية تمديد اللجنة 
بعد الانتقال الى القائمة الجانبية على يمين الشاشة والنقر على "اللجنة" ويتم استعراض قائمة منسدلة واختيار تمديد اللجنة
يتم طلب تمديد اللجنة من خلال تعبئة بيانات اللجنة وتحديد تاريخ انتهاء  التشكيل  مع ارفاق السند النظامي  
يتم اشعار منشئ اللجنة على البريد الالكتروني بتاكيد تمديد اللجنة  وتحديث تاريخ انتهاء التشكيل
</t>
  </si>
  <si>
    <t>امكانية طلب تمديد</t>
  </si>
  <si>
    <r>
      <rPr>
        <sz val="16"/>
        <color rgb="FF000000"/>
        <rFont val="Tahoma"/>
        <family val="2"/>
      </rPr>
      <t>بعد الانتهاء من اعمال اللجنه يمكن اغلاق اللجنه  عن طريق (</t>
    </r>
    <r>
      <rPr>
        <b/>
        <sz val="16"/>
        <color rgb="FF000000"/>
        <rFont val="Tahoma"/>
        <family val="2"/>
      </rPr>
      <t>امين اللجنة او صاحب الصلاحية)</t>
    </r>
    <r>
      <rPr>
        <sz val="16"/>
        <color rgb="FF000000"/>
        <rFont val="Tahoma"/>
        <family val="2"/>
      </rPr>
      <t xml:space="preserve"> ويتم الانتقال اليها من زر "استعراض اللجنه" والنقر على تبويب اغلاق لجنة يتم النقر على زر " رفع مسوغات الاغلاق" ليتم فتح نافذة وكتابة اسم الملف وتحديد الملف
ومن ثم النقر على" حفظ"
- لايتم استعراض تبويب اغلاق اللجنه الا بعد اضافة محضر من اجتماع مرتبط بلجنة </t>
    </r>
  </si>
  <si>
    <t>اللجان-التقييم الذاتي</t>
  </si>
  <si>
    <t>الانتقال الى القائمة الجانبية على يمين الشاشة والنقر على "اللجان" والنقر على "التقييم الذاتي واختيار رفع التقييم الذاتي 
عند النقر على اللجان "التقيم الذاتي" ومن ثم"مراجعة التقيم الذاتي" يتم استعراض اللجان ومن ثم النقر على التفاصيل  لاضافة نسبة التقيم ومن ثم "حفظ"
 بعد مراجعة التقييم الذاتي يتم اغلاق اللجنة بنجاح ويتم تحديث حالة اللجنة الى "مغلقة-غير نشطة"</t>
  </si>
  <si>
    <t>ريوف الحربي</t>
  </si>
  <si>
    <t>ريماز المجنحي</t>
  </si>
  <si>
    <t>ادارة المجالس</t>
  </si>
  <si>
    <t xml:space="preserve">فريق الجودة </t>
  </si>
  <si>
    <t>سلطان نعمان</t>
  </si>
  <si>
    <t xml:space="preserve"> تسجيل الدخول الى نظام إدارةاللجان 
 اسم المستخدم: A
كلمة السر:1 </t>
  </si>
  <si>
    <t xml:space="preserve">إنشاء مجلس </t>
  </si>
  <si>
    <t xml:space="preserve">الانتقال الى القائمة الجانبية على يمين الشاشة والنقر على "المجالس" ويتم استعراض قائمة منسدلة واختيار إدارة المجالس
يتم تعبئة بيانات المجلس:-
1- اسم المجلس (حقل اجباري)
2-النوع (حقل اجباري)
3- تعبئة بيانات اللجنة ومن ثم النقر على "حفظ" </t>
  </si>
  <si>
    <t xml:space="preserve">إمكانية المستخدم من تعبئة البيانات </t>
  </si>
  <si>
    <t xml:space="preserve">  تسجيل الدخول الى نظام إدارةاللجان 
 اسم المستخدم: A
كلمة السر:1</t>
  </si>
  <si>
    <t>ادارة المجالس-الاعضاء</t>
  </si>
  <si>
    <t xml:space="preserve">عند النقر على تبويبة "الاعضاء" ومن ثم النقر على زر اضافة اعضاء يتم اضافة  الاعضاء المسجلين بالنظام 
او النقر على زر"إرسال بريد الكتروني"لارسال اشعار للاعضاء 
عند النقر على زر " اضافة عضو خارجي" يمكن اضافة عضو خارج الادارة ويتم تعبئة الاتي: يظهر "زر اضافة عضو خارجي" عند تحديد المجلس بعضوية رئيس 
1- الاسم الاول (حقل اجباري) 
2- اسم العائلة (حقل اجباري) 
3- اسم المستخدم (حقل اجباري) 
4- البريد الالكتروني ( حقل اجباري) 
5- المنصب (حقل اجباري)
6- الجهة: (حقل اختياري)
7- اللقب: (حقل اختياري)
8- مجالات الخبرة (حقل اختياري)
9- رقم الهاتف المحمول (حقل اختياري)
10- العنوان (حقل اختياري)
11- المدينة (حقل اختياري) 
12- الدولة (حقل اختياري) 
13- النقر على زر "تأكيد"
وسيتم اضافة العضو الخارجي وتسجيله في النظام كعضو خارجي </t>
  </si>
  <si>
    <t>إمكانية المستخدم من اضافة عضاء</t>
  </si>
  <si>
    <t>ادارة المجالس--الاعضاء</t>
  </si>
  <si>
    <t>عند اضافة اعضاء يمكن تعديل المنصب الى"رئيس المجلس او امين المجلس او عضو المجلس"
وامكانية تعديل نوع العضوية "دائمة او موقتة"
وامكانية حق التصويت"يستطيع التصويت ام لا"
النقر على "حفظ" ليتم تعديل البيانات</t>
  </si>
  <si>
    <t>إمكانية المستخدم من تعديل الاعضاء</t>
  </si>
  <si>
    <t>ادارة المجالس-- المجالس المرتبطة</t>
  </si>
  <si>
    <t xml:space="preserve">من خلال النقر على(+ اضافة) يمكن اضافة المجالس المرتبطه بشكل اختياري </t>
  </si>
  <si>
    <t>امكانية اضافة مجلس مرتبط</t>
  </si>
  <si>
    <t xml:space="preserve">إدارة المجالس- تحديد صيغ مخرجات المجلس </t>
  </si>
  <si>
    <t>يتم الانتقال الى تبويب تحديد صيغ مخرجات المجلس 
وامكانية تحديد صيغ ملفات مخرجات المجلس"pdf.docx.jpg.png.tif.tiff"ومن ثم النقر على "حفظ "</t>
  </si>
  <si>
    <t xml:space="preserve">تحديد صيغ مخرجات المجالس </t>
  </si>
  <si>
    <t xml:space="preserve">ادارة المجالس - الوثائق </t>
  </si>
  <si>
    <t xml:space="preserve">  تسجيل الدخول الى نظام إدارةاللجان 
 اسم المستخدم: A
كلمة السر:1 </t>
  </si>
  <si>
    <t>تمديد المجلس</t>
  </si>
  <si>
    <t xml:space="preserve">
في حال قارب تاريخ المجلس على الانتهاء يتم اشعار الدور المركزي في البريد الالكتروني بامكانية تمديد المجلس 
بعد الانتقال الى القائمة الجانبية على يمين الشاشة والنقر على "اللمجلس" ويتم استعراض قائمة منسدلة واختيار تمديد المجلس
يتم طلب تمديد المجلس من خلال تعبئة بيانات المجلس وتحديد تاريخ انتهاء  التشكيل  مع ارفاق السند النظامي  
يتم اشعار منشئ المجلس على البريد الالكتروني بتاكيد تمديد المجلس  وتحديث تاريخ انتهاء التشكيل</t>
  </si>
  <si>
    <t xml:space="preserve">اغلاق مجلس </t>
  </si>
  <si>
    <r>
      <rPr>
        <sz val="16"/>
        <color rgb="FF000000"/>
        <rFont val="Tahoma"/>
        <family val="2"/>
      </rPr>
      <t>بعد الانتهاء من اعمال المجلس يمكن اغلاق المجلس  عن طريق (</t>
    </r>
    <r>
      <rPr>
        <b/>
        <sz val="16"/>
        <color rgb="FF000000"/>
        <rFont val="Tahoma"/>
        <family val="2"/>
      </rPr>
      <t>امين المجلس او صاحب الصلاحية)</t>
    </r>
    <r>
      <rPr>
        <sz val="16"/>
        <color rgb="FF000000"/>
        <rFont val="Tahoma"/>
        <family val="2"/>
      </rPr>
      <t xml:space="preserve"> ويتم الانتقال اليها من زر "استعراض المجلس" والنقر على تبويب اغلاق مجلس يتم النقر على زر " رفع مسوغات الاغلاق" ليتم فتح نافذة وكتابة اسم الملف وتحديد الملف
ومن ثم النقر على" حفظ"
- لايتم استعراض تبويب اغلاق المجلس الا بعد اضافة محضر من اجتماع مرتبط بمجلس</t>
    </r>
  </si>
  <si>
    <t>امكانية اغلاق المجلس</t>
  </si>
  <si>
    <t xml:space="preserve">طلبات اغلاق المجلس </t>
  </si>
  <si>
    <t xml:space="preserve">يتم استعراض طلبات اغلاق المجلس الى الدور المركزي من خلال اللجان "طلبات اغلاق مجلس" ويتم عرض المجلس والتفاصيل ومن ثم يتم (الموافقة او الرفض او اعادة الطلب ) على الاغلاق وعند الموافقة يتم ارسال ملف التقييم الذاتي للاعضاء تلقائيا
</t>
  </si>
  <si>
    <t xml:space="preserve">تأكيد طلب اغلاق المجلس من قبل الدور المركزي </t>
  </si>
  <si>
    <t>التقييم الذاتي</t>
  </si>
  <si>
    <t>الانتقال الى القائمة الجانبية على يمين الشاشة والنقر على "المجالس" والنقر على "التقييم الذاتي واختيار رفع التقييم الذاتي 
عند النقر على المجالس"التقيم الذاتي" ومن ثم"مراجعة التقيم الذاتي" يتم استعراض المجالس ومن ثم النقر على التفاصيل  لاضافة نسبة التقيم ومن ثم "حفظ" بعد مراجعة التقييم الذاتي يتم اغلاق المجلس بنجاح ويتم تحديث حالة المجلس الى "مغلقة-غير نشطة"</t>
  </si>
  <si>
    <t>ادارة المهام</t>
  </si>
  <si>
    <t>مهمة مسندة الى اخرين</t>
  </si>
  <si>
    <t xml:space="preserve">تاريخ حالة الاختبار </t>
  </si>
  <si>
    <t>01\07\2024</t>
  </si>
  <si>
    <t xml:space="preserve"> تسجيل الدخول الى نظام إدارة المهام  
 اسم المستخدم:A
كلمة السر:1 </t>
  </si>
  <si>
    <t xml:space="preserve">اسناد الى اخرين </t>
  </si>
  <si>
    <t xml:space="preserve">في حال تم تم اختيار خانة اسناد الى اخرين من منشئ المهمة، يسمح النظام للمسنده الية المهمة امكانية اسناد المهمة الى جهة اخرى  اضافية واحدة فقط </t>
  </si>
  <si>
    <t xml:space="preserve">يتمكن مسند المهمة الى اسناد لاخرين </t>
  </si>
  <si>
    <t xml:space="preserve"> الانتقال للمهمه المسندة عبر القائمة الرئيسية، جميع المهام، المهام المنشأة، المهام المستلمة </t>
  </si>
  <si>
    <t xml:space="preserve">الانتقال الى جميع المهام </t>
  </si>
  <si>
    <t xml:space="preserve">النقر على المهمه المسندة  واختيار "اسناد الى اخرين" من خلال قائمة اجراءات المهمة مع تأكيد عملية الاسناد للاخرين واختيار الاتي: 
1- نوع الاسناد ( اختيار اسناد لموظف )
2- اسناد الى (اختيار الموظف أنور السراج)
3- ملاحظات (حقل اختياري) 
4- النقر على "حفظ" </t>
  </si>
  <si>
    <t xml:space="preserve">تعبئة بيانات الاسناد </t>
  </si>
  <si>
    <t xml:space="preserve"> تسجيل الدخول الى نظام إدارة المهام  
 اسم المستخدم:B 
كلمة السر:1 </t>
  </si>
  <si>
    <t xml:space="preserve">ويمكن للمسند له المهمة "كاسناد لاخرين" من العمل على المهمة كأي مهمة اخرى وعند الانتهاء منها يمكنه ارجاع المهمة الى مسند المهمة  من خلال قائمة "اجراءات المهمة" واختيار "ارسال لمسند المهمة" وتأكيد عملية الارجاع مع امكانية ذكر الملاحظات بشكل اختياري والنقر على زر " نعم او لا" </t>
  </si>
  <si>
    <t xml:space="preserve">استلام المهمة </t>
  </si>
  <si>
    <t>ادارة الاجتماعات</t>
  </si>
  <si>
    <t>إنشاء اجتماع</t>
  </si>
  <si>
    <r>
      <rPr>
        <sz val="16"/>
        <color rgb="FF000000"/>
        <rFont val="Tahoma"/>
        <family val="2"/>
      </rPr>
      <t>الانتقال الى القائمة الجانبية على يمين الشاشة والنقر على "الاجتماعات" وسيتم استعراض قائمة منسدلة واختيار إدارة الاجتماعات
يتم استعراض قائمة الاجتماعات مع الاتي:
1- زر +اجتماع جديد "عند النقر عليه يتم فتح صفحة بيانات الاجتماع ليتم تعبئتها
2- زر +اجتماع سابق "عند النقر عليه</t>
    </r>
    <r>
      <rPr>
        <sz val="16"/>
        <color rgb="FFFF0000"/>
        <rFont val="Tahoma"/>
        <family val="2"/>
      </rPr>
      <t xml:space="preserve"> </t>
    </r>
    <r>
      <rPr>
        <sz val="16"/>
        <color rgb="FF000000"/>
        <rFont val="Tahoma"/>
        <family val="2"/>
      </rPr>
      <t>يتم فتح صفحة بيانات ليتم تعبئتها" وسيتم نشر الاجتماع تلقائيا بدون لحاجة الى تعبئة بيانات الحضور والاجندة</t>
    </r>
  </si>
  <si>
    <t xml:space="preserve">امكانية استعراض الاجتماعات </t>
  </si>
  <si>
    <t>إنشاء اجتماع-بيانات الاجتماع</t>
  </si>
  <si>
    <t>عند النقر على اجتماع جديد يستعرض بيانات الاجتماع لتعبيتها"
-العنوان "اضافة عنوان الاجتماع "اجباري"
-نوع الاجتماع قائمةاختيار"مفرد-دوري-مرتبط بلجنة او مجلس"اجباري"
الوصف "اختياري"
-الغرض من الاجتماع "اجباري"
- النتيجة من الاجتماع "اجباري"
-راعي الاجتماع"اجباري"
-السرية (عام-مقيد -سري-سري للغاية) "اختياري" 
-نوع الاجتماع"حضوري او افتراضي او حضوري وافتراضي""اجباري"
- عند تحديد نوع الاجتماع "حضوري" يظهر الموقع واجباري اختيار الموقع
- عند تحديد نوع الاجتماع "افتراضي" يظهر حقل نوع الاجتماع الافتراضي"اجباري التحديد
- عند تحديد نوع الاجتماع "حضوري وافتراضي" يظهر الموقع واجباري اختيار الموقع وتحديد نوع الاجتماع 
-المبادرات "اختياري"
-الاهداف الاستراتيجية"اختياري"
-التاريخ"اجباري"
-وقت البداية والنهاية "اجباري" 
-المدة"اجباري
-عند النقر على هذا الاجتماع يتطلب حضور رئيس اللجنة"لايتم الاجتماع الا بوجود الرئيس"
-عند النقر على هذا الاجتماع مغلق (اجتماع سابق - لن يتم إرسال دعوات أو تنبيهات للحضور و سيتم نشر الاجتماع تلقائياً)""
ومن ثم النقر على ""حفظ""
-يتم ارسال الاجتماع الكتروني باسم وايميل الادارة
عند تعارض وقت اجتماع عضو في اللجنة يتم اشعاره الكترونيا</t>
  </si>
  <si>
    <t>امكانية تعبئة بيانات الاجتماع</t>
  </si>
  <si>
    <t xml:space="preserve"> تسجيل الدخول الى نظام إدارة اللجان 
 اسم المستخدم: A
كلمة السر:1 </t>
  </si>
  <si>
    <t>إنشاء اجتماع-الحضور</t>
  </si>
  <si>
    <r>
      <rPr>
        <sz val="16"/>
        <color rgb="FF000000"/>
        <rFont val="Tahoma"/>
        <family val="2"/>
      </rPr>
      <t>بعد "حفظ" بيانات الاجتماع تظهر قائمة بالتالي:
1-التفاصيل"يمكن تعديل البيانات او نسخ او حذف 
2- الحضور"عند النقر على اضافة مدعوين (يتم دعوة المسجلين في النظام) عند النقر على</t>
    </r>
    <r>
      <rPr>
        <b/>
        <sz val="16"/>
        <color rgb="FF000000"/>
        <rFont val="Tahoma"/>
        <family val="2"/>
      </rPr>
      <t xml:space="preserve">" اضافة مدعوين خارجيين"
</t>
    </r>
    <r>
      <rPr>
        <sz val="16"/>
        <color rgb="FF000000"/>
        <rFont val="Tahoma"/>
        <family val="2"/>
      </rPr>
      <t xml:space="preserve">""اضف جديد " يمكن اضافة عضو خارج الادارة ويتم تعبئة الاتي: 
1- الاسم الاول (حقل اجباري) 
2- اسم العائلة (حقل اجباري) 
3- اسم المستخدم (حقل اجباري) 
4- البريد الالكتروني ( حقل اجباري) 
5- المنصب (حقل اجباري)
6- الجهة: (حقل اختياري)
7- اللقب: (حقل اختياري)
8- مجالات الخبرة (حقل اختياري)
9- رقم الهاتف المحمول (حقل اختياري)
10- العنوان (حقل اختياري)
11- المدينة (حقل اختياري) 
12- الدولة (حقل اختياري) 
ثم النقر على "تاكيد" وسيتم اضافة العضو الخارجي
 او النقر على ارسال بريد الكتروني ليتم الاشعار في "البريد الالكتروني"
 </t>
    </r>
  </si>
  <si>
    <t xml:space="preserve">امكانية الاطلاع على تفاصيل الاجتماع واضافة اعضاء </t>
  </si>
  <si>
    <t xml:space="preserve"> تسجيل الدخول الى نظام إدارة اللجان 
 اسم المستخدم:A
كلمة السر:1</t>
  </si>
  <si>
    <t>إنشاء اجتماع-الاجندة</t>
  </si>
  <si>
    <t xml:space="preserve">يتم النقر على الاجندة ومن ثم "+اضافة" (تحديد نوع الاجندة جديدة او عامة)
يتم النقر على احندة جديدة ومن ثم
1- كتابة العنوان "اجباري"
2-الوصف"اختياري"
3-المتحدث"اجباري"يتم اختيار عضو متحدث وارسال اجندة الاجتماع للمراجعة
4-تحديد نوع الخصوصية عام او سري 
5-  النقر على "حفظ"
 بعد النقر على "حفظ" سيتم ارسال الاجندة للمتحدث للمراجعة 
</t>
  </si>
  <si>
    <t>امكانية اضافة الاجندة وارسالها</t>
  </si>
  <si>
    <t>إنشاء اجتماع- الاجندة</t>
  </si>
  <si>
    <t xml:space="preserve">بعد قبول مراجعة الاجندة من قبل" المتحدث" سيتمكن"المنشئ" من نشر الاجندة ومن ثم نشر الاجتماع </t>
  </si>
  <si>
    <t>امكانية نشر الاجتماع</t>
  </si>
  <si>
    <t>انهاء الاجتماع</t>
  </si>
  <si>
    <t xml:space="preserve">يمكن انهاء الاجتماع عن طريق زر "انهاء" وسيتم انهاء الاجتماع لجميع الاعضاء ويتم تحديث حالة الاجتماع الى "منتهي" </t>
  </si>
  <si>
    <t xml:space="preserve">امكانية انهاء الاجتماع </t>
  </si>
  <si>
    <t>إنشاء اجتماع-المرفقات</t>
  </si>
  <si>
    <t>عند النقر على المرفقات من ثم اضافة يتم اضافة المرفق وكتابة الوصف ومن ثم "حفظ"</t>
  </si>
  <si>
    <t>امكانية اضافة المرفق</t>
  </si>
  <si>
    <t>إنشاء اجتماع-ارسال بريد الكتروني</t>
  </si>
  <si>
    <t xml:space="preserve">عند النقر على ارسال بريد الكتروني يتم اظهار بريد الكتروني للاعضاء وحقل لكتابة المووضع وحقل الرسال ومن ثم النقر على ارسال  </t>
  </si>
  <si>
    <t>امكانية ارسال بريد الكرتوني</t>
  </si>
  <si>
    <t>إنشاء اجتماع-التعليقات والملاحظات</t>
  </si>
  <si>
    <t xml:space="preserve">عند النقر على التعليقات والملاحظات يتم اضافة ملاحظة للاجتماع واظهارها عام او شخصي </t>
  </si>
  <si>
    <t xml:space="preserve">امكانية اضافة تعليقات وملاحظات </t>
  </si>
  <si>
    <t>إنشاء اجتماع-ارسال  مراجعة المحضر</t>
  </si>
  <si>
    <t xml:space="preserve">عند النقر على المحضر يتم اضافة محضر بعد انتهاء الاجتماع 
وارسال المحضر للمراجعة من قبل رئيس / امين الى الاعضاء الحاضرين للاجتماع </t>
  </si>
  <si>
    <t xml:space="preserve">ارسال المحضر للمراجعة </t>
  </si>
  <si>
    <t xml:space="preserve">إنشاء اجتماع-ارسال طلب توقيع </t>
  </si>
  <si>
    <t>بعد الموافقة على المحضر من قبل الاعضاء الذين حضرو في الاجتماع يمكن للرئيس/ الامين ارسال طلب توقيع الاعضاء عن طريق تبويب "المحضر"</t>
  </si>
  <si>
    <t xml:space="preserve">ارسال طلب توقيع </t>
  </si>
  <si>
    <t>إنشاء اجتماع-مراجعة مسودة الاجندة</t>
  </si>
  <si>
    <t>عند النقر على مراجعة مسودة الاجندة يظهر 
(اسم العضو-وقت مراجعة الاجندة-الملاحظات-تاريخ انتهاء صلاحية الطلب-الموافقة على الاجندة)</t>
  </si>
  <si>
    <t>امكاينة الاطلاع على مراجعة المسودة</t>
  </si>
  <si>
    <t>إنشاء اجتماع-مراجعة مسودة المحضر</t>
  </si>
  <si>
    <t xml:space="preserve">عند النقر على مراجعة مسودة المحضر يظهر 
(اسم العضو-وقت مراجعة المحضر -الملاحظات-تاريخ انتهاء صلاحية الطلب-الموافقة على المحضر)
</t>
  </si>
  <si>
    <t>امكانية الاطلاع على مراجعة المحضر</t>
  </si>
  <si>
    <t>إنشاء اجتماع-توقيع المحضر</t>
  </si>
  <si>
    <t>بعد عند النقر على حالة توقيع المحضر يظهر(اسم العضو و وقت توقيع المحضر والتوقيع)
ويستطيع من خلال ارسال تذكير بالتوقيع ارسال التذكير</t>
  </si>
  <si>
    <t>امكانية الاطلاع علة حالة التوقيع وارسال تذكير بالتوقيع</t>
  </si>
  <si>
    <t>انشاء اجتماع نسخ المحضر</t>
  </si>
  <si>
    <t xml:space="preserve">يتم استعراض نسخ المحضر(رقم النسخة- اسم الملف -تاريخ الانشاء- الاوامر)
من خلال زر الاوامر يتم استعراض المحضر والاعضاء وتوقيع الاعضاء </t>
  </si>
  <si>
    <t>امكانية نسخ المحضر</t>
  </si>
  <si>
    <t>انشاء اجتماع-اعتماد المحضر</t>
  </si>
  <si>
    <t>يتم النقر على اعتماد المحضر بالنيابة عن (العضو الذي لم يوقع المحضر)</t>
  </si>
  <si>
    <t xml:space="preserve">امكانية اعتماد المحضر بالنيابة عن العضو </t>
  </si>
  <si>
    <t>انشاء اجتماع-سجل الاجتماع</t>
  </si>
  <si>
    <t>يتم النقر على سجل الاجتماع لظهور السجل للاجتماع</t>
  </si>
  <si>
    <t>امكانية الاطلاع على سجل الاجتماع</t>
  </si>
  <si>
    <t>التفويض</t>
  </si>
  <si>
    <t xml:space="preserve">
اختيار "إعدادات المستخدم" في يسار اعلى الصفحة عند اسم المستخدم واختيار "التفويض" 
يستعرض النظام شاشة التفويض متضمن الاتي:
1-حقول تاريخ البداية -تاريخ الانتهاء
2-تفويض الى (قائمة منسدلة) بمستخدمين النظام
3-ثم النقر على "حفظ"
بتم استعراض جميع التفويضات المرسلة سابقا في القائمة </t>
  </si>
  <si>
    <t>ارسال التفويض</t>
  </si>
  <si>
    <t xml:space="preserve"> تسجيل الدخول الى نظام إدارة اللجان 
 اسم المستخدم:C
كلمة السر:1</t>
  </si>
  <si>
    <t>المفوض اليه</t>
  </si>
  <si>
    <t xml:space="preserve">ينتقل المستخدم المعني الى شاشة الصفحة الرئيسية والنقر على ايقونة "التفويض" في يسار اعلى الشاشة 
يتم استعراض اسم الشخص المفوض ويستطيع المفوض اليه الدخول لصفحة المفوض
بعد ارسال التفويض الى المستخدم المعني تصبح حالة التفويض"فعال" </t>
  </si>
  <si>
    <t>الدخول الى صفحة المفوض</t>
  </si>
  <si>
    <t>التقارير</t>
  </si>
  <si>
    <t xml:space="preserve"> الانتقال الى صفحة التقارير واختيار التقارير عبر القائمة المنسدلة ( تقارير الاحصائية - تقارير المتابعة - تقارير الجودة) من القائمة الجانبية </t>
  </si>
  <si>
    <t xml:space="preserve">الانتقال الى التقارير بنجاح </t>
  </si>
  <si>
    <t xml:space="preserve">    تسجيل الدخول الى نظام إدارةاللجان 
 اسم المستخدم: A
كلمة السر:1</t>
  </si>
  <si>
    <t xml:space="preserve">التقارير الاحصائية </t>
  </si>
  <si>
    <t xml:space="preserve"> اختيار  التقارير الاحصائية تظهر بيانات ليتم تعبئتها
1- قائمة المستوى ( قائمة اجبارية) لجنة- مجلس
2- قائمة نوع التقرير (قائمة اجبارية) تقرير بعدد اللجان او المجالس (النشطة ,غير النشطة)-تقرير بعدد الإجتماعات (الفعاله ,المنجزة)- تقرير بمجموع ساعات الإجتماعات (المنجزة)- تقرير بنسبة الإنجاز اللجان او المجالس في النظام - تقرير بعدد اللجان او المجلس او الإجتماعات وفق حقل (السرية) - تقرير بعدد الإجتماعات وفق حقل (السرية) للجنة او المجلس- تقرير بعدد اللجان او المجالس و الإجتماعات لإدارة معينة او مجموعة ادارات -تقرير بعدد فرق العمل
3- النقر على زر "عرض التقرير"
5- النقر على زر "طباعة" او حفظ PDF
</t>
  </si>
  <si>
    <t>امكانية تعبئة البيانات واستعراض بيانات التقرير وامكانية الطباعة</t>
  </si>
  <si>
    <t xml:space="preserve">تقارير المتابعة </t>
  </si>
  <si>
    <t xml:space="preserve">اختيار " تقارير المتابعة" تظهر بيانات ليتم تعبئتها: 
1- قائمة المستوى ( قائمة اجبارية) لجنة-مجلس-فرق العمل
2- قائمة نوع التقرير (قائمة اجبارية)
 - تقرير بعدد الحضور على الإجتماعات
- تقرير بنسبة التصويت على اجندة الإجتماعات
- تقرير بالأعضاء الذين وقعوا على محضر اجتماع او عدة محاضر الإجتماعات .
- تقرير بحالة مخرجات إجتماع على مستوى التوصيات.
3- النقر على زر "عرض التقرير"
4- النقر على زر "طباعة" او حفظ PDF 
</t>
  </si>
  <si>
    <t xml:space="preserve">تقارير الجودة </t>
  </si>
  <si>
    <t>اختيار " تقارير الجودة" تظهر بيانات ليتم تعبئتها: 
1- قائمة المستوى ( قائمة اجبارية) لجنة-مجلس
2- قائمة نوع التقرير (قائمة اجبارية)
 - تقرير بنسب التقييم الذاتي للأعضاء للجنة او مجلس محدد.
- تقرير باللجان او المجالس التي تم إغلاق في وقتها.
- تقرير باللجان او المجالس التي تم قبول طلبات التمديد لها.
3- النقر على زر "عرض التقرير"
4- النقر على زر "طباعة" او حفظ PDF</t>
  </si>
  <si>
    <t>تقارير شامل</t>
  </si>
  <si>
    <t>اختيار " تقارير شامل" تظهر بيانات ليتم تعبئتها: 
1- قائمة المستوى ( قائمة اجبارية) لجنة-مجلس-اجتماع
2- من تاريخ
3-الى تاريخ
3- النقر على زر "عرض التقرير"
4- النقر على زر "طباعة" او حفظ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</si>
</sst>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0"/>
      <color rgb="FF000000"/>
      <name val="Arial"/>
      <scheme val="minor"/>
    </font>
    <font>
      <sz val="18"/>
      <color theme="1"/>
      <name val="Arial"/>
      <family val="2"/>
      <scheme val="minor"/>
    </font>
    <font>
      <sz val="24"/>
      <color theme="1"/>
      <name val="Arial"/>
      <family val="2"/>
      <scheme val="minor"/>
    </font>
    <font>
      <sz val="10"/>
      <color theme="4" tint="-0.499984740745262"/>
      <name val="Arial"/>
      <family val="2"/>
      <scheme val="minor"/>
    </font>
    <font>
      <sz val="10"/>
      <name val="Arial"/>
      <family val="2"/>
    </font>
    <font>
      <b/>
      <sz val="18"/>
      <name val="SST Arabic Medium"/>
      <family val="2"/>
    </font>
    <font>
      <sz val="10"/>
      <color theme="1"/>
      <name val="Arial"/>
      <family val="2"/>
      <scheme val="minor"/>
    </font>
    <font>
      <u/>
      <sz val="11"/>
      <color theme="10"/>
      <name val="Arial"/>
      <family val="2"/>
      <scheme val="minor"/>
    </font>
    <font>
      <sz val="10"/>
      <color rgb="FFFF0000"/>
      <name val="Arial"/>
      <family val="2"/>
      <scheme val="minor"/>
    </font>
    <font>
      <sz val="10"/>
      <color theme="0"/>
      <name val="Arial"/>
      <family val="2"/>
      <scheme val="minor"/>
    </font>
    <font>
      <sz val="28"/>
      <color rgb="FF000000"/>
      <name val="Arial"/>
      <family val="2"/>
      <scheme val="minor"/>
    </font>
    <font>
      <sz val="10"/>
      <color rgb="FF000000"/>
      <name val="Arial"/>
      <family val="2"/>
      <scheme val="minor"/>
    </font>
    <font>
      <sz val="16"/>
      <color theme="3"/>
      <name val="Tahoma"/>
      <family val="2"/>
    </font>
    <font>
      <sz val="28"/>
      <color theme="0"/>
      <name val="Tahoma"/>
      <family val="2"/>
    </font>
    <font>
      <b/>
      <sz val="28"/>
      <color theme="0"/>
      <name val="Tahoma"/>
      <family val="2"/>
    </font>
    <font>
      <b/>
      <sz val="16"/>
      <color theme="0"/>
      <name val="Tahoma"/>
      <family val="2"/>
    </font>
    <font>
      <sz val="36"/>
      <color rgb="FFFFFFFF"/>
      <name val="Tahoma"/>
      <family val="2"/>
    </font>
    <font>
      <b/>
      <sz val="18"/>
      <name val="Tahoma"/>
      <family val="2"/>
    </font>
    <font>
      <sz val="10"/>
      <color rgb="FFF2F2F2"/>
      <name val="Arial"/>
      <family val="2"/>
      <scheme val="minor"/>
    </font>
    <font>
      <b/>
      <sz val="18"/>
      <color theme="0"/>
      <name val="Tahoma"/>
      <family val="2"/>
    </font>
    <font>
      <sz val="16"/>
      <color rgb="FF000000"/>
      <name val="Tahoma"/>
      <family val="2"/>
    </font>
    <font>
      <sz val="16"/>
      <color rgb="FF000000"/>
      <name val="Tahoma"/>
      <family val="2"/>
    </font>
    <font>
      <sz val="16"/>
      <color theme="3"/>
      <name val="Tahoma"/>
      <family val="2"/>
    </font>
    <font>
      <b/>
      <sz val="18"/>
      <color rgb="FF000000"/>
      <name val="Tahoma"/>
      <family val="2"/>
    </font>
    <font>
      <sz val="10"/>
      <color theme="1"/>
      <name val="Arial"/>
      <family val="2"/>
      <scheme val="minor"/>
    </font>
    <font>
      <sz val="28"/>
      <color theme="1"/>
      <name val="Arial"/>
      <family val="2"/>
      <scheme val="minor"/>
    </font>
    <font>
      <u/>
      <sz val="36"/>
      <color theme="0"/>
      <name val="Tahoma"/>
      <family val="2"/>
    </font>
    <font>
      <b/>
      <sz val="36"/>
      <color rgb="FF000000"/>
      <name val="Tahoma"/>
      <family val="2"/>
    </font>
    <font>
      <b/>
      <sz val="20"/>
      <color rgb="FF000000"/>
      <name val="Tahoma"/>
      <family val="2"/>
    </font>
    <font>
      <sz val="20"/>
      <color theme="1"/>
      <name val="Tahoma"/>
      <family val="2"/>
    </font>
    <font>
      <sz val="18"/>
      <color theme="1"/>
      <name val="Tahoma"/>
      <family val="2"/>
    </font>
    <font>
      <sz val="20"/>
      <color rgb="FF000000"/>
      <name val="Tahoma"/>
      <family val="2"/>
    </font>
    <font>
      <sz val="18"/>
      <color rgb="FF000000"/>
      <name val="Tahoma"/>
      <family val="2"/>
    </font>
    <font>
      <sz val="16"/>
      <color rgb="FF000000"/>
      <name val="Tahoma"/>
      <family val="2"/>
    </font>
    <font>
      <sz val="16"/>
      <color rgb="FFFF0000"/>
      <name val="Tahoma"/>
      <family val="2"/>
    </font>
    <font>
      <b/>
      <sz val="16"/>
      <color rgb="FF000000"/>
      <name val="Tahoma"/>
      <family val="2"/>
    </font>
    <font>
      <sz val="36"/>
      <color theme="0"/>
      <name val="Tahoma"/>
      <family val="2"/>
    </font>
    <font>
      <sz val="36"/>
      <color theme="1"/>
      <name val="Tahoma"/>
      <family val="2"/>
    </font>
    <font>
      <sz val="10"/>
      <color theme="0"/>
      <name val="Arial"/>
      <family val="2"/>
      <scheme val="minor"/>
    </font>
    <font>
      <sz val="28"/>
      <color theme="0"/>
      <name val="Arial"/>
      <family val="2"/>
      <scheme val="minor"/>
    </font>
    <font>
      <sz val="10"/>
      <color theme="1" tint="0.499984740745262"/>
      <name val="Arial"/>
      <family val="2"/>
      <scheme val="minor"/>
    </font>
    <font>
      <sz val="10"/>
      <color theme="1" tint="0.499984740745262"/>
      <name val="Arial"/>
      <family val="2"/>
      <scheme val="minor"/>
    </font>
    <font>
      <sz val="10"/>
      <color rgb="FFFF0000"/>
      <name val="Arial"/>
      <family val="2"/>
      <scheme val="minor"/>
    </font>
    <font>
      <sz val="28"/>
      <color rgb="FFFF0000"/>
      <name val="Arial"/>
      <family val="2"/>
      <scheme val="minor"/>
    </font>
    <font>
      <sz val="36"/>
      <color theme="1" tint="0.249977111117893"/>
      <name val="Tahoma"/>
      <family val="2"/>
    </font>
    <font>
      <sz val="10"/>
      <color theme="1" tint="0.249977111117893"/>
      <name val="Arial"/>
      <family val="2"/>
      <scheme val="minor"/>
    </font>
    <font>
      <sz val="10"/>
      <color theme="1" tint="0.249977111117893"/>
      <name val="Arial"/>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rgb="FF4F9399"/>
        <bgColor rgb="FF305496"/>
      </patternFill>
    </fill>
    <fill>
      <patternFill patternType="solid">
        <fgColor rgb="FF4F9399"/>
        <bgColor indexed="64"/>
      </patternFill>
    </fill>
    <fill>
      <patternFill patternType="solid">
        <fgColor rgb="FFF2F2F2"/>
        <bgColor indexed="64"/>
      </patternFill>
    </fill>
    <fill>
      <patternFill patternType="solid">
        <fgColor rgb="FF4F9399"/>
        <bgColor rgb="FF000000"/>
      </patternFill>
    </fill>
    <fill>
      <patternFill patternType="solid">
        <fgColor theme="0"/>
        <bgColor indexed="64"/>
      </patternFill>
    </fill>
    <fill>
      <patternFill patternType="solid">
        <fgColor rgb="FFFFFFFF"/>
        <bgColor rgb="FF000000"/>
      </patternFill>
    </fill>
    <fill>
      <patternFill patternType="solid">
        <fgColor theme="0"/>
        <bgColor rgb="FF305496"/>
      </patternFill>
    </fill>
    <fill>
      <patternFill patternType="solid">
        <fgColor theme="0" tint="-4.9989318521683403E-2"/>
        <bgColor rgb="FF000000"/>
      </patternFill>
    </fill>
    <fill>
      <patternFill patternType="solid">
        <fgColor theme="4" tint="0.79998168889431442"/>
        <bgColor rgb="FF000000"/>
      </patternFill>
    </fill>
    <fill>
      <patternFill patternType="solid">
        <fgColor theme="0"/>
        <bgColor rgb="FF000000"/>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right/>
      <top/>
      <bottom style="thin">
        <color rgb="FF30549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1"/>
      </top>
      <bottom style="thin">
        <color theme="1"/>
      </bottom>
      <diagonal/>
    </border>
  </borders>
  <cellStyleXfs count="5">
    <xf numFmtId="0" fontId="0" fillId="0" borderId="0"/>
    <xf numFmtId="0" fontId="4" fillId="0" borderId="0" applyBorder="0"/>
    <xf numFmtId="0" fontId="6" fillId="0" borderId="0"/>
    <xf numFmtId="0" fontId="7" fillId="0" borderId="0" applyNumberFormat="0" applyFill="0" applyBorder="0" applyAlignment="0" applyProtection="0"/>
    <xf numFmtId="0" fontId="11" fillId="0" borderId="0"/>
  </cellStyleXfs>
  <cellXfs count="142">
    <xf numFmtId="0" fontId="0" fillId="0" borderId="0" xfId="0"/>
    <xf numFmtId="0" fontId="2" fillId="0" borderId="0" xfId="0" applyFont="1" applyAlignment="1">
      <alignment horizontal="center"/>
    </xf>
    <xf numFmtId="0" fontId="3" fillId="0" borderId="0" xfId="0" applyFont="1"/>
    <xf numFmtId="0" fontId="3" fillId="2" borderId="0" xfId="0" applyFont="1" applyFill="1"/>
    <xf numFmtId="0" fontId="0" fillId="2" borderId="0" xfId="0" applyFill="1"/>
    <xf numFmtId="0" fontId="5" fillId="2" borderId="0" xfId="1" applyFont="1" applyFill="1" applyBorder="1" applyAlignment="1" applyProtection="1">
      <alignment vertical="center" wrapText="1"/>
      <protection hidden="1"/>
    </xf>
    <xf numFmtId="0" fontId="8" fillId="0" borderId="0" xfId="0" applyFont="1"/>
    <xf numFmtId="0" fontId="9" fillId="0" borderId="0" xfId="0" applyFont="1"/>
    <xf numFmtId="0" fontId="10" fillId="0" borderId="0" xfId="0" applyFont="1"/>
    <xf numFmtId="0" fontId="12" fillId="0" borderId="2" xfId="2" applyFont="1" applyBorder="1" applyAlignment="1">
      <alignment horizontal="center" vertical="center" wrapText="1"/>
    </xf>
    <xf numFmtId="0" fontId="12" fillId="0" borderId="2" xfId="2" applyFont="1" applyBorder="1" applyAlignment="1">
      <alignment vertical="center" wrapText="1"/>
    </xf>
    <xf numFmtId="0" fontId="12" fillId="0" borderId="2" xfId="3" applyFont="1" applyFill="1" applyBorder="1" applyAlignment="1" applyProtection="1">
      <alignment horizontal="right" vertical="center" wrapText="1"/>
    </xf>
    <xf numFmtId="0" fontId="12" fillId="0" borderId="2" xfId="0" applyFont="1" applyBorder="1" applyAlignment="1">
      <alignment horizontal="center" vertical="center"/>
    </xf>
    <xf numFmtId="0" fontId="12" fillId="0" borderId="6" xfId="2" applyFont="1" applyBorder="1" applyAlignment="1">
      <alignment vertical="center" wrapText="1"/>
    </xf>
    <xf numFmtId="0" fontId="12" fillId="0" borderId="5" xfId="0" applyFont="1" applyBorder="1" applyAlignment="1">
      <alignment horizontal="center" vertical="center"/>
    </xf>
    <xf numFmtId="0" fontId="12" fillId="0" borderId="7" xfId="2" applyFont="1" applyBorder="1" applyAlignment="1" applyProtection="1">
      <alignment vertical="center" wrapText="1"/>
      <protection locked="0"/>
    </xf>
    <xf numFmtId="0" fontId="13" fillId="4" borderId="2" xfId="0" applyFont="1" applyFill="1" applyBorder="1" applyAlignment="1">
      <alignment horizontal="center" vertical="center"/>
    </xf>
    <xf numFmtId="0" fontId="14" fillId="4" borderId="2" xfId="0" applyFont="1" applyFill="1" applyBorder="1" applyAlignment="1">
      <alignment horizontal="center" vertical="center"/>
    </xf>
    <xf numFmtId="0" fontId="15" fillId="4" borderId="2" xfId="2" applyFont="1" applyFill="1" applyBorder="1" applyAlignment="1">
      <alignment horizontal="center" vertical="center" wrapText="1"/>
    </xf>
    <xf numFmtId="0" fontId="12" fillId="0" borderId="7" xfId="2" applyFont="1" applyBorder="1" applyAlignment="1" applyProtection="1">
      <alignment horizontal="center" vertical="center" wrapText="1"/>
      <protection locked="0"/>
    </xf>
    <xf numFmtId="0" fontId="12" fillId="0" borderId="2" xfId="2" applyFont="1" applyBorder="1" applyAlignment="1">
      <alignment horizontal="right" vertical="center" wrapText="1"/>
    </xf>
    <xf numFmtId="0" fontId="5" fillId="2" borderId="0" xfId="1" applyFont="1" applyFill="1" applyBorder="1" applyAlignment="1" applyProtection="1">
      <alignment horizontal="right" vertical="center" wrapText="1"/>
      <protection hidden="1"/>
    </xf>
    <xf numFmtId="0" fontId="12" fillId="0" borderId="6" xfId="2" applyFont="1" applyBorder="1" applyAlignment="1">
      <alignment horizontal="center" vertical="center" wrapText="1"/>
    </xf>
    <xf numFmtId="0" fontId="0" fillId="2" borderId="0" xfId="0" applyFill="1" applyAlignment="1">
      <alignment horizontal="center"/>
    </xf>
    <xf numFmtId="0" fontId="1" fillId="0" borderId="0" xfId="0" applyFont="1" applyAlignment="1">
      <alignment horizontal="center"/>
    </xf>
    <xf numFmtId="0" fontId="0" fillId="0" borderId="0" xfId="0" applyAlignment="1">
      <alignment horizontal="center"/>
    </xf>
    <xf numFmtId="0" fontId="12" fillId="0" borderId="2" xfId="2" applyFont="1" applyBorder="1" applyAlignment="1">
      <alignment horizontal="center" vertical="center" wrapText="1" readingOrder="2"/>
    </xf>
    <xf numFmtId="0" fontId="17" fillId="2" borderId="2" xfId="1" applyFont="1" applyFill="1" applyBorder="1" applyAlignment="1" applyProtection="1">
      <alignment vertical="center" wrapText="1"/>
      <protection hidden="1"/>
    </xf>
    <xf numFmtId="0" fontId="17" fillId="2" borderId="2" xfId="1" applyFont="1" applyFill="1" applyBorder="1" applyAlignment="1" applyProtection="1">
      <alignment horizontal="right" vertical="center" wrapText="1"/>
      <protection hidden="1"/>
    </xf>
    <xf numFmtId="0" fontId="18" fillId="2" borderId="0" xfId="0" applyFont="1" applyFill="1"/>
    <xf numFmtId="0" fontId="19" fillId="4" borderId="2" xfId="1" applyFont="1" applyFill="1" applyBorder="1" applyAlignment="1">
      <alignment vertical="center" wrapText="1"/>
    </xf>
    <xf numFmtId="0" fontId="20" fillId="0" borderId="7" xfId="2" applyFont="1" applyBorder="1" applyAlignment="1" applyProtection="1">
      <alignment horizontal="right" vertical="center" wrapText="1"/>
      <protection locked="0"/>
    </xf>
    <xf numFmtId="0" fontId="12" fillId="0" borderId="4" xfId="2" applyFont="1" applyBorder="1" applyAlignment="1">
      <alignment horizontal="center" vertical="center" wrapText="1"/>
    </xf>
    <xf numFmtId="0" fontId="12" fillId="0" borderId="0" xfId="2" applyFont="1" applyAlignment="1">
      <alignment horizontal="center" vertical="center" wrapText="1"/>
    </xf>
    <xf numFmtId="0" fontId="12" fillId="0" borderId="8" xfId="2" applyFont="1" applyBorder="1" applyAlignment="1">
      <alignment horizontal="center" vertical="center" wrapText="1"/>
    </xf>
    <xf numFmtId="0" fontId="20" fillId="0" borderId="2" xfId="3" applyFont="1" applyFill="1" applyBorder="1" applyAlignment="1" applyProtection="1">
      <alignment horizontal="right" vertical="center" wrapText="1"/>
    </xf>
    <xf numFmtId="0" fontId="21" fillId="0" borderId="2" xfId="0" applyFont="1" applyBorder="1" applyAlignment="1">
      <alignment horizontal="right" vertical="center" wrapText="1" readingOrder="2"/>
    </xf>
    <xf numFmtId="0" fontId="21" fillId="0" borderId="10" xfId="0" applyFont="1" applyBorder="1" applyAlignment="1">
      <alignment horizontal="center" vertical="center" wrapText="1" readingOrder="2"/>
    </xf>
    <xf numFmtId="0" fontId="12" fillId="0" borderId="5" xfId="2" applyFont="1" applyBorder="1" applyAlignment="1">
      <alignment horizontal="center" vertical="center" wrapText="1"/>
    </xf>
    <xf numFmtId="0" fontId="20" fillId="0" borderId="9" xfId="2" applyFont="1" applyBorder="1" applyAlignment="1">
      <alignment vertical="center" wrapText="1"/>
    </xf>
    <xf numFmtId="0" fontId="17" fillId="2" borderId="9" xfId="1" applyFont="1" applyFill="1" applyBorder="1" applyAlignment="1" applyProtection="1">
      <alignment vertical="center" wrapText="1"/>
      <protection hidden="1"/>
    </xf>
    <xf numFmtId="0" fontId="19" fillId="4" borderId="5" xfId="1" applyFont="1" applyFill="1" applyBorder="1" applyAlignment="1">
      <alignment vertical="center" wrapText="1"/>
    </xf>
    <xf numFmtId="0" fontId="13" fillId="4" borderId="12" xfId="0" applyFont="1" applyFill="1" applyBorder="1" applyAlignment="1">
      <alignment horizontal="center" vertical="center"/>
    </xf>
    <xf numFmtId="0" fontId="21" fillId="0" borderId="2" xfId="0" applyFont="1" applyBorder="1" applyAlignment="1">
      <alignment vertical="center" wrapText="1" readingOrder="2"/>
    </xf>
    <xf numFmtId="0" fontId="12" fillId="0" borderId="6" xfId="2" applyFont="1" applyBorder="1" applyAlignment="1">
      <alignment horizontal="right" vertical="center" wrapText="1"/>
    </xf>
    <xf numFmtId="0" fontId="12" fillId="0" borderId="7" xfId="2" applyFont="1" applyBorder="1" applyAlignment="1">
      <alignment vertical="center" wrapText="1"/>
    </xf>
    <xf numFmtId="0" fontId="12" fillId="0" borderId="13" xfId="2" applyFont="1" applyBorder="1" applyAlignment="1">
      <alignment horizontal="center" vertical="center" wrapText="1"/>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3" xfId="2" applyFont="1" applyBorder="1" applyAlignment="1">
      <alignment horizontal="center" vertical="center" wrapText="1"/>
    </xf>
    <xf numFmtId="0" fontId="12" fillId="0" borderId="9" xfId="2" applyFont="1" applyBorder="1" applyAlignment="1">
      <alignment vertical="center" wrapText="1"/>
    </xf>
    <xf numFmtId="0" fontId="24" fillId="0" borderId="0" xfId="0" applyFont="1"/>
    <xf numFmtId="0" fontId="25" fillId="0" borderId="0" xfId="0" applyFont="1"/>
    <xf numFmtId="0" fontId="23" fillId="5" borderId="7" xfId="0" applyFont="1" applyFill="1" applyBorder="1" applyAlignment="1">
      <alignment vertical="center"/>
    </xf>
    <xf numFmtId="0" fontId="28" fillId="11" borderId="2" xfId="0" applyFont="1" applyFill="1" applyBorder="1" applyAlignment="1">
      <alignment horizontal="center" vertical="center" readingOrder="2"/>
    </xf>
    <xf numFmtId="0" fontId="28" fillId="11" borderId="2" xfId="0" applyFont="1" applyFill="1" applyBorder="1" applyAlignment="1">
      <alignment horizontal="center" vertical="center" wrapText="1" readingOrder="2"/>
    </xf>
    <xf numFmtId="0" fontId="29" fillId="7" borderId="2" xfId="0" applyFont="1" applyFill="1" applyBorder="1" applyAlignment="1">
      <alignment horizontal="center" vertical="center" readingOrder="2"/>
    </xf>
    <xf numFmtId="0" fontId="29" fillId="12" borderId="2" xfId="0" applyFont="1" applyFill="1" applyBorder="1" applyAlignment="1">
      <alignment horizontal="center" vertical="center" wrapText="1" readingOrder="1"/>
    </xf>
    <xf numFmtId="0" fontId="30" fillId="7" borderId="2" xfId="0" applyFont="1" applyFill="1" applyBorder="1" applyAlignment="1">
      <alignment horizontal="center" vertical="center" readingOrder="2"/>
    </xf>
    <xf numFmtId="0" fontId="29" fillId="7" borderId="2" xfId="0" applyFont="1" applyFill="1" applyBorder="1" applyAlignment="1">
      <alignment horizontal="center" vertical="center" readingOrder="1"/>
    </xf>
    <xf numFmtId="0" fontId="31" fillId="8" borderId="2" xfId="0" applyFont="1" applyFill="1" applyBorder="1" applyAlignment="1">
      <alignment horizontal="center" vertical="center" wrapText="1" readingOrder="1"/>
    </xf>
    <xf numFmtId="0" fontId="31" fillId="0" borderId="2" xfId="0" applyFont="1" applyBorder="1" applyAlignment="1">
      <alignment horizontal="center" vertical="center" readingOrder="2"/>
    </xf>
    <xf numFmtId="0" fontId="32" fillId="0" borderId="2" xfId="0" applyFont="1" applyBorder="1" applyAlignment="1">
      <alignment horizontal="center" vertical="center" readingOrder="2"/>
    </xf>
    <xf numFmtId="0" fontId="31" fillId="0" borderId="2" xfId="0" applyFont="1" applyBorder="1" applyAlignment="1">
      <alignment horizontal="center" vertical="center" readingOrder="1"/>
    </xf>
    <xf numFmtId="0" fontId="31" fillId="8" borderId="2" xfId="0" applyFont="1" applyFill="1" applyBorder="1" applyAlignment="1">
      <alignment wrapText="1" readingOrder="1"/>
    </xf>
    <xf numFmtId="0" fontId="16" fillId="3" borderId="0" xfId="0" applyFont="1" applyFill="1" applyAlignment="1">
      <alignment vertical="center"/>
    </xf>
    <xf numFmtId="0" fontId="33" fillId="0" borderId="0" xfId="0" applyFont="1" applyAlignment="1">
      <alignment horizontal="center" vertical="center" wrapText="1"/>
    </xf>
    <xf numFmtId="0" fontId="20" fillId="0" borderId="2" xfId="0" applyFont="1" applyBorder="1" applyAlignment="1">
      <alignment vertical="center" wrapText="1" readingOrder="2"/>
    </xf>
    <xf numFmtId="0" fontId="21" fillId="0" borderId="11" xfId="0" applyFont="1" applyBorder="1" applyAlignment="1">
      <alignment horizontal="right" vertical="center" wrapText="1" readingOrder="2"/>
    </xf>
    <xf numFmtId="0" fontId="20" fillId="0" borderId="0" xfId="2" applyFont="1" applyAlignment="1">
      <alignment horizontal="center" vertical="center" wrapText="1"/>
    </xf>
    <xf numFmtId="0" fontId="12" fillId="7" borderId="2" xfId="2" applyFont="1" applyFill="1" applyBorder="1" applyAlignment="1">
      <alignment horizontal="center" vertical="center" wrapText="1"/>
    </xf>
    <xf numFmtId="0" fontId="20" fillId="7" borderId="7" xfId="2" applyFont="1" applyFill="1" applyBorder="1" applyAlignment="1" applyProtection="1">
      <alignment vertical="center" wrapText="1"/>
      <protection locked="0"/>
    </xf>
    <xf numFmtId="0" fontId="12" fillId="7" borderId="2" xfId="2" applyFont="1" applyFill="1" applyBorder="1" applyAlignment="1">
      <alignment vertical="center" wrapText="1"/>
    </xf>
    <xf numFmtId="0" fontId="12" fillId="7" borderId="2" xfId="0" applyFont="1" applyFill="1" applyBorder="1" applyAlignment="1">
      <alignment horizontal="center" vertical="center"/>
    </xf>
    <xf numFmtId="0" fontId="12" fillId="0" borderId="20" xfId="2" applyFont="1" applyBorder="1" applyAlignment="1" applyProtection="1">
      <alignment horizontal="center" vertical="center" wrapText="1"/>
      <protection locked="0"/>
    </xf>
    <xf numFmtId="0" fontId="12" fillId="0" borderId="3" xfId="0" applyFont="1" applyBorder="1" applyAlignment="1">
      <alignment horizontal="center" vertical="center"/>
    </xf>
    <xf numFmtId="0" fontId="33" fillId="0" borderId="0" xfId="0" applyFont="1" applyAlignment="1">
      <alignment horizontal="center" vertical="center"/>
    </xf>
    <xf numFmtId="0" fontId="6" fillId="0" borderId="0" xfId="0" applyFont="1"/>
    <xf numFmtId="0" fontId="37" fillId="3" borderId="0" xfId="0" applyFont="1" applyFill="1" applyAlignment="1">
      <alignment vertical="center"/>
    </xf>
    <xf numFmtId="0" fontId="24" fillId="2" borderId="0" xfId="0" applyFont="1" applyFill="1"/>
    <xf numFmtId="0" fontId="20" fillId="0" borderId="21" xfId="2" applyFont="1" applyBorder="1" applyAlignment="1" applyProtection="1">
      <alignment horizontal="right" vertical="center" wrapText="1"/>
      <protection locked="0"/>
    </xf>
    <xf numFmtId="0" fontId="38" fillId="0" borderId="0" xfId="0" applyFont="1"/>
    <xf numFmtId="0" fontId="39" fillId="0" borderId="0" xfId="0" applyFont="1"/>
    <xf numFmtId="0" fontId="15" fillId="4" borderId="9" xfId="2" applyFont="1" applyFill="1" applyBorder="1" applyAlignment="1">
      <alignment horizontal="center" vertical="center" wrapText="1"/>
    </xf>
    <xf numFmtId="0" fontId="22" fillId="0" borderId="2" xfId="2" applyFont="1" applyBorder="1" applyAlignment="1">
      <alignment vertical="center" wrapText="1"/>
    </xf>
    <xf numFmtId="0" fontId="24" fillId="2" borderId="0" xfId="0" applyFont="1" applyFill="1" applyAlignment="1">
      <alignment horizontal="center"/>
    </xf>
    <xf numFmtId="0" fontId="40" fillId="0" borderId="0" xfId="0" applyFont="1"/>
    <xf numFmtId="0" fontId="41" fillId="0" borderId="0" xfId="0" applyFont="1"/>
    <xf numFmtId="0" fontId="20" fillId="0" borderId="7" xfId="2" applyFont="1" applyBorder="1" applyAlignment="1" applyProtection="1">
      <alignment vertical="center" wrapText="1"/>
      <protection locked="0"/>
    </xf>
    <xf numFmtId="0" fontId="20" fillId="0" borderId="2" xfId="2" applyFont="1" applyBorder="1" applyAlignment="1">
      <alignment vertical="center" wrapText="1"/>
    </xf>
    <xf numFmtId="0" fontId="12" fillId="0" borderId="22" xfId="2" applyFont="1" applyBorder="1" applyAlignment="1">
      <alignment horizontal="center" vertical="center" wrapText="1"/>
    </xf>
    <xf numFmtId="0" fontId="20" fillId="0" borderId="4" xfId="2" applyFont="1" applyBorder="1" applyAlignment="1">
      <alignment horizontal="center" vertical="center" wrapText="1"/>
    </xf>
    <xf numFmtId="0" fontId="42" fillId="0" borderId="0" xfId="0" applyFont="1"/>
    <xf numFmtId="0" fontId="43" fillId="0" borderId="0" xfId="0" applyFont="1"/>
    <xf numFmtId="0" fontId="12" fillId="0" borderId="2" xfId="2" applyFont="1" applyBorder="1" applyAlignment="1">
      <alignment horizontal="right" vertical="center" wrapText="1" indent="1"/>
    </xf>
    <xf numFmtId="0" fontId="21" fillId="0" borderId="2" xfId="2" applyFont="1" applyBorder="1" applyAlignment="1">
      <alignment horizontal="center" vertical="center" wrapText="1"/>
    </xf>
    <xf numFmtId="0" fontId="21" fillId="0" borderId="0" xfId="2" applyFont="1" applyAlignment="1">
      <alignment horizontal="center" vertical="center" wrapText="1"/>
    </xf>
    <xf numFmtId="0" fontId="44" fillId="0" borderId="0" xfId="0" applyFont="1" applyAlignment="1">
      <alignment vertical="center"/>
    </xf>
    <xf numFmtId="0" fontId="45" fillId="0" borderId="0" xfId="0" applyFont="1"/>
    <xf numFmtId="0" fontId="46" fillId="0" borderId="0" xfId="0" applyFont="1"/>
    <xf numFmtId="0" fontId="45" fillId="2" borderId="0" xfId="0" applyFont="1" applyFill="1"/>
    <xf numFmtId="0" fontId="28" fillId="11" borderId="5" xfId="0" applyFont="1" applyFill="1" applyBorder="1" applyAlignment="1">
      <alignment horizontal="center" vertical="center" wrapText="1" readingOrder="2"/>
    </xf>
    <xf numFmtId="0" fontId="28" fillId="11" borderId="4" xfId="0" applyFont="1" applyFill="1" applyBorder="1" applyAlignment="1">
      <alignment horizontal="center" vertical="center" wrapText="1" readingOrder="2"/>
    </xf>
    <xf numFmtId="0" fontId="31" fillId="8" borderId="5" xfId="0" applyFont="1" applyFill="1" applyBorder="1" applyAlignment="1">
      <alignment horizontal="center" vertical="center" wrapText="1" readingOrder="1"/>
    </xf>
    <xf numFmtId="0" fontId="31" fillId="8" borderId="4" xfId="0" applyFont="1" applyFill="1" applyBorder="1" applyAlignment="1">
      <alignment horizontal="center" vertical="center" wrapText="1" readingOrder="1"/>
    </xf>
    <xf numFmtId="0" fontId="27" fillId="10" borderId="2" xfId="0" applyFont="1" applyFill="1" applyBorder="1" applyAlignment="1">
      <alignment horizontal="center" vertical="center" readingOrder="2"/>
    </xf>
    <xf numFmtId="0" fontId="31" fillId="16" borderId="5" xfId="0" applyFont="1" applyFill="1" applyBorder="1" applyAlignment="1">
      <alignment horizontal="center" vertical="center" readingOrder="2"/>
    </xf>
    <xf numFmtId="0" fontId="31" fillId="16" borderId="4" xfId="0" applyFont="1" applyFill="1" applyBorder="1" applyAlignment="1">
      <alignment horizontal="center" vertical="center" readingOrder="2"/>
    </xf>
    <xf numFmtId="0" fontId="29" fillId="14" borderId="5" xfId="0" applyFont="1" applyFill="1" applyBorder="1" applyAlignment="1">
      <alignment horizontal="center" vertical="center"/>
    </xf>
    <xf numFmtId="0" fontId="29" fillId="14" borderId="4" xfId="0" applyFont="1" applyFill="1" applyBorder="1" applyAlignment="1">
      <alignment horizontal="center" vertical="center"/>
    </xf>
    <xf numFmtId="0" fontId="31" fillId="15" borderId="5" xfId="0" applyFont="1" applyFill="1" applyBorder="1" applyAlignment="1">
      <alignment horizontal="center" vertical="center" readingOrder="2"/>
    </xf>
    <xf numFmtId="0" fontId="31" fillId="15" borderId="4" xfId="0" applyFont="1" applyFill="1" applyBorder="1" applyAlignment="1">
      <alignment horizontal="center" vertical="center" readingOrder="2"/>
    </xf>
    <xf numFmtId="0" fontId="28" fillId="11" borderId="5" xfId="0" applyFont="1" applyFill="1" applyBorder="1" applyAlignment="1">
      <alignment horizontal="center" vertical="center" readingOrder="2"/>
    </xf>
    <xf numFmtId="0" fontId="28" fillId="11" borderId="4" xfId="0" applyFont="1" applyFill="1" applyBorder="1" applyAlignment="1">
      <alignment horizontal="center" vertical="center" readingOrder="2"/>
    </xf>
    <xf numFmtId="0" fontId="29" fillId="12" borderId="5" xfId="0" applyFont="1" applyFill="1" applyBorder="1" applyAlignment="1">
      <alignment horizontal="center" vertical="center" readingOrder="2"/>
    </xf>
    <xf numFmtId="0" fontId="29" fillId="12" borderId="4" xfId="0" applyFont="1" applyFill="1" applyBorder="1" applyAlignment="1">
      <alignment horizontal="center" vertical="center" readingOrder="2"/>
    </xf>
    <xf numFmtId="0" fontId="29" fillId="13" borderId="5" xfId="0" applyFont="1" applyFill="1" applyBorder="1" applyAlignment="1">
      <alignment horizontal="center" vertical="center" readingOrder="2"/>
    </xf>
    <xf numFmtId="0" fontId="29" fillId="13" borderId="4" xfId="0" applyFont="1" applyFill="1" applyBorder="1" applyAlignment="1">
      <alignment horizontal="center" vertical="center" readingOrder="2"/>
    </xf>
    <xf numFmtId="0" fontId="36" fillId="9" borderId="3" xfId="0" applyFont="1" applyFill="1" applyBorder="1" applyAlignment="1">
      <alignment horizontal="center" vertical="center"/>
    </xf>
    <xf numFmtId="0" fontId="36" fillId="9" borderId="14" xfId="0" applyFont="1" applyFill="1" applyBorder="1" applyAlignment="1">
      <alignment horizontal="center" vertical="center"/>
    </xf>
    <xf numFmtId="0" fontId="36" fillId="9" borderId="8" xfId="0" applyFont="1" applyFill="1" applyBorder="1" applyAlignment="1">
      <alignment horizontal="center" vertical="center"/>
    </xf>
    <xf numFmtId="0" fontId="36" fillId="9" borderId="15" xfId="0" applyFont="1" applyFill="1" applyBorder="1" applyAlignment="1">
      <alignment horizontal="center" vertical="center"/>
    </xf>
    <xf numFmtId="0" fontId="36" fillId="9" borderId="0" xfId="0" applyFont="1" applyFill="1" applyAlignment="1">
      <alignment horizontal="center" vertical="center"/>
    </xf>
    <xf numFmtId="0" fontId="36" fillId="9" borderId="18" xfId="0" applyFont="1" applyFill="1" applyBorder="1" applyAlignment="1">
      <alignment horizontal="center" vertical="center"/>
    </xf>
    <xf numFmtId="0" fontId="36" fillId="9" borderId="16" xfId="0" applyFont="1" applyFill="1" applyBorder="1" applyAlignment="1">
      <alignment horizontal="center" vertical="center"/>
    </xf>
    <xf numFmtId="0" fontId="36" fillId="9" borderId="19" xfId="0" applyFont="1" applyFill="1" applyBorder="1" applyAlignment="1">
      <alignment horizontal="center" vertical="center"/>
    </xf>
    <xf numFmtId="0" fontId="36" fillId="9" borderId="17" xfId="0" applyFont="1" applyFill="1" applyBorder="1" applyAlignment="1">
      <alignment horizontal="center" vertical="center"/>
    </xf>
    <xf numFmtId="0" fontId="36" fillId="3" borderId="2" xfId="0" applyFont="1" applyFill="1" applyBorder="1" applyAlignment="1">
      <alignment horizontal="center" vertical="center"/>
    </xf>
    <xf numFmtId="0" fontId="14" fillId="6" borderId="3" xfId="0" applyFont="1" applyFill="1" applyBorder="1" applyAlignment="1">
      <alignment horizontal="center" vertical="center" readingOrder="1"/>
    </xf>
    <xf numFmtId="0" fontId="14" fillId="6" borderId="14" xfId="0" applyFont="1" applyFill="1" applyBorder="1" applyAlignment="1">
      <alignment horizontal="center" vertical="center" readingOrder="1"/>
    </xf>
    <xf numFmtId="0" fontId="14" fillId="6" borderId="8" xfId="0" applyFont="1" applyFill="1" applyBorder="1" applyAlignment="1">
      <alignment horizontal="center" vertical="center" readingOrder="1"/>
    </xf>
    <xf numFmtId="0" fontId="14" fillId="6" borderId="16" xfId="0" applyFont="1" applyFill="1" applyBorder="1" applyAlignment="1">
      <alignment horizontal="center" vertical="center" readingOrder="1"/>
    </xf>
    <xf numFmtId="0" fontId="14" fillId="6" borderId="19" xfId="0" applyFont="1" applyFill="1" applyBorder="1" applyAlignment="1">
      <alignment horizontal="center" vertical="center" readingOrder="1"/>
    </xf>
    <xf numFmtId="0" fontId="14" fillId="6" borderId="17" xfId="0" applyFont="1" applyFill="1" applyBorder="1" applyAlignment="1">
      <alignment horizontal="center" vertical="center" readingOrder="1"/>
    </xf>
    <xf numFmtId="0" fontId="26" fillId="6" borderId="3" xfId="3" applyFont="1" applyFill="1" applyBorder="1" applyAlignment="1">
      <alignment horizontal="right" vertical="center" readingOrder="1"/>
    </xf>
    <xf numFmtId="0" fontId="26" fillId="6" borderId="14" xfId="3" applyFont="1" applyFill="1" applyBorder="1" applyAlignment="1">
      <alignment horizontal="right" vertical="center" readingOrder="1"/>
    </xf>
    <xf numFmtId="0" fontId="26" fillId="6" borderId="8" xfId="3" applyFont="1" applyFill="1" applyBorder="1" applyAlignment="1">
      <alignment horizontal="right" vertical="center" readingOrder="1"/>
    </xf>
    <xf numFmtId="0" fontId="26" fillId="6" borderId="16" xfId="3" applyFont="1" applyFill="1" applyBorder="1" applyAlignment="1">
      <alignment horizontal="right" vertical="center" readingOrder="1"/>
    </xf>
    <xf numFmtId="0" fontId="26" fillId="6" borderId="19" xfId="3" applyFont="1" applyFill="1" applyBorder="1" applyAlignment="1">
      <alignment horizontal="right" vertical="center" readingOrder="1"/>
    </xf>
    <xf numFmtId="0" fontId="26" fillId="6" borderId="17" xfId="3" applyFont="1" applyFill="1" applyBorder="1" applyAlignment="1">
      <alignment horizontal="right" vertical="center" readingOrder="1"/>
    </xf>
    <xf numFmtId="0" fontId="16" fillId="3" borderId="0" xfId="0" applyFont="1" applyFill="1" applyAlignment="1">
      <alignment horizontal="center" vertical="center"/>
    </xf>
    <xf numFmtId="0" fontId="16" fillId="3" borderId="1" xfId="0" applyFont="1" applyFill="1" applyBorder="1" applyAlignment="1">
      <alignment horizontal="center" vertical="center"/>
    </xf>
  </cellXfs>
  <cellStyles count="5">
    <cellStyle name="Hyperlink" xfId="3" builtinId="8"/>
    <cellStyle name="Normal" xfId="0" builtinId="0"/>
    <cellStyle name="Normal 2" xfId="2" xr:uid="{F620E448-DE67-409F-9CB8-0AB1B589C6B2}"/>
    <cellStyle name="Normal 3" xfId="4" xr:uid="{379FED47-6D94-40A2-B331-3BE45DCA5F6A}"/>
    <cellStyle name="Normal 5" xfId="1" xr:uid="{E6D18D10-7A6B-4BF2-A16C-A6B440B695F2}"/>
  </cellStyles>
  <dxfs count="138">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1" hidden="0"/>
    </dxf>
    <dxf>
      <font>
        <b val="0"/>
        <i val="0"/>
        <strike val="0"/>
        <condense val="0"/>
        <extend val="0"/>
        <outline val="0"/>
        <shadow val="0"/>
        <u val="none"/>
        <vertAlign val="baseline"/>
        <sz val="16"/>
        <color rgb="FF000000"/>
        <name val="Tahoma"/>
        <scheme val="none"/>
      </font>
      <fill>
        <patternFill patternType="none">
          <fgColor indexed="64"/>
          <bgColor auto="1"/>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6"/>
        <color theme="0"/>
        <name val="Tahoma"/>
        <family val="2"/>
        <scheme val="none"/>
      </font>
      <fill>
        <patternFill patternType="solid">
          <fgColor indexed="64"/>
          <bgColor rgb="FF4F939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2"/>
      <border diagonalUp="0" diagonalDown="0">
        <left style="thin">
          <color indexed="64"/>
        </left>
        <right style="thin">
          <color indexed="64"/>
        </right>
        <top style="thin">
          <color indexed="64"/>
        </top>
        <bottom style="thin">
          <color rgb="FF000000"/>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right" vertical="center" textRotation="0" wrapText="1" indent="0" justifyLastLine="0" shrinkToFit="0" readingOrder="2"/>
      <border diagonalUp="0" diagonalDown="0">
        <left style="thin">
          <color indexed="64"/>
        </left>
        <right style="thin">
          <color indexed="64"/>
        </right>
        <top style="thin">
          <color rgb="FF000000"/>
        </top>
        <bottom style="thin">
          <color rgb="FF000000"/>
        </bottom>
        <vertical/>
        <horizontal/>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numFmt numFmtId="0" formatCode="General"/>
      <fill>
        <patternFill patternType="none">
          <fgColor indexed="64"/>
          <bgColor rgb="FF4F939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fill>
        <patternFill patternType="solid">
          <fgColor indexed="64"/>
          <bgColor rgb="FF4F939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fill>
        <patternFill patternType="solid">
          <fgColor indexed="64"/>
          <bgColor rgb="FF4F9399"/>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none"/>
      </fill>
      <alignment horizontal="center" vertical="center" textRotation="0" wrapText="1" indent="0" justifyLastLine="0" shrinkToFit="0" readingOrder="0"/>
    </dxf>
    <dxf>
      <font>
        <b val="0"/>
        <i val="0"/>
        <strike val="0"/>
        <condense val="0"/>
        <extend val="0"/>
        <outline val="0"/>
        <shadow val="0"/>
        <u val="none"/>
        <vertAlign val="baseline"/>
        <sz val="16"/>
        <color theme="3"/>
        <name val="Tahoma"/>
        <family val="2"/>
        <scheme val="none"/>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6"/>
        <color theme="0"/>
        <name val="Tahoma"/>
        <family val="2"/>
        <scheme val="none"/>
      </font>
      <fill>
        <patternFill patternType="solid">
          <fgColor indexed="64"/>
          <bgColor rgb="FF4F939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rgb="FF4F9399"/>
          <bgColor rgb="FFFFFFFF"/>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rgb="FF000000"/>
        <name val="Tahoma"/>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3"/>
        <name val="Tahoma"/>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fill>
        <patternFill patternType="solid">
          <fgColor rgb="FF4F9399"/>
          <bgColor rgb="FFFFFFFF"/>
        </patternFill>
      </fill>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000000"/>
        <name val="Tahoma"/>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0"/>
        <name val="Tahoma"/>
        <family val="2"/>
        <scheme val="none"/>
      </font>
      <fill>
        <patternFill patternType="solid">
          <fgColor indexed="64"/>
          <bgColor rgb="FF4F9399"/>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2F2F2"/>
      <color rgb="FF4F9399"/>
      <color rgb="FF75C989"/>
      <color rgb="FF305496"/>
      <color rgb="FF5BC9EE"/>
      <color rgb="FFE1E4E9"/>
      <color rgb="FF3F8877"/>
      <color rgb="FF4BA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2B2B-4E50-98E0-372FF78BD0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2B-4E50-98E0-372FF78BD0C4}"/>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2B2B-4E50-98E0-372FF78BD0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'لوحة المعلومات'!$N$10:$N$12</c:f>
              <c:strCache>
                <c:ptCount val="3"/>
                <c:pt idx="0">
                  <c:v>نجح</c:v>
                </c:pt>
                <c:pt idx="2">
                  <c:v>فشل</c:v>
                </c:pt>
              </c:strCache>
            </c:strRef>
          </c:cat>
          <c:val>
            <c:numRef>
              <c:f>'لوحة المعلومات'!$O$10:$O$12</c:f>
              <c:numCache>
                <c:formatCode>General</c:formatCode>
                <c:ptCount val="3"/>
                <c:pt idx="0">
                  <c:v>0</c:v>
                </c:pt>
                <c:pt idx="2">
                  <c:v>0</c:v>
                </c:pt>
              </c:numCache>
            </c:numRef>
          </c:val>
          <c:extLst>
            <c:ext xmlns:c16="http://schemas.microsoft.com/office/drawing/2014/chart" uri="{C3380CC4-5D6E-409C-BE32-E72D297353CC}">
              <c16:uniqueId val="{00000006-2B2B-4E50-98E0-372FF78BD0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FB03-4026-9B66-2722623438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03-4026-9B66-272262343822}"/>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FB03-4026-9B66-272262343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'مقترح تشكيل لجنة'!$N$10:$N$12</c:f>
              <c:strCache>
                <c:ptCount val="3"/>
                <c:pt idx="0">
                  <c:v>نجح</c:v>
                </c:pt>
                <c:pt idx="2">
                  <c:v>فشل</c:v>
                </c:pt>
              </c:strCache>
            </c:strRef>
          </c:cat>
          <c:val>
            <c:numRef>
              <c:f>'مقترح تشكيل لجنة'!$O$10:$O$12</c:f>
              <c:numCache>
                <c:formatCode>General</c:formatCode>
                <c:ptCount val="3"/>
                <c:pt idx="0">
                  <c:v>0</c:v>
                </c:pt>
                <c:pt idx="2">
                  <c:v>0</c:v>
                </c:pt>
              </c:numCache>
            </c:numRef>
          </c:val>
          <c:extLst>
            <c:ext xmlns:c16="http://schemas.microsoft.com/office/drawing/2014/chart" uri="{C3380CC4-5D6E-409C-BE32-E72D297353CC}">
              <c16:uniqueId val="{00000006-FB03-4026-9B66-2722623438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62CE-4E5F-A229-9BAC808AD2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CE-4E5F-A229-9BAC808AD2D8}"/>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62CE-4E5F-A229-9BAC808AD2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'ادارة اللجان الداخلية '!$N$10:$N$12</c:f>
              <c:strCache>
                <c:ptCount val="3"/>
                <c:pt idx="0">
                  <c:v>نجح</c:v>
                </c:pt>
                <c:pt idx="2">
                  <c:v>فشل</c:v>
                </c:pt>
              </c:strCache>
            </c:strRef>
          </c:cat>
          <c:val>
            <c:numRef>
              <c:f>'ادارة اللجان الداخلية '!$O$10:$O$12</c:f>
              <c:numCache>
                <c:formatCode>General</c:formatCode>
                <c:ptCount val="3"/>
                <c:pt idx="0">
                  <c:v>0</c:v>
                </c:pt>
                <c:pt idx="2">
                  <c:v>0</c:v>
                </c:pt>
              </c:numCache>
            </c:numRef>
          </c:val>
          <c:extLst>
            <c:ext xmlns:c16="http://schemas.microsoft.com/office/drawing/2014/chart" uri="{C3380CC4-5D6E-409C-BE32-E72D297353CC}">
              <c16:uniqueId val="{00000006-62CE-4E5F-A229-9BAC808AD2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42D-45C7-B66D-1B3FDC13A7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D-45C7-B66D-1B3FDC13A7EE}"/>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42D-45C7-B66D-1B3FDC13A7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'ادارة اللجان الخارجية'!$N$10:$N$12</c:f>
              <c:strCache>
                <c:ptCount val="3"/>
                <c:pt idx="0">
                  <c:v>نجح</c:v>
                </c:pt>
                <c:pt idx="2">
                  <c:v>فشل</c:v>
                </c:pt>
              </c:strCache>
            </c:strRef>
          </c:cat>
          <c:val>
            <c:numRef>
              <c:f>'ادارة اللجان الخارجية'!$O$10:$O$12</c:f>
              <c:numCache>
                <c:formatCode>General</c:formatCode>
                <c:ptCount val="3"/>
                <c:pt idx="0">
                  <c:v>0</c:v>
                </c:pt>
                <c:pt idx="2">
                  <c:v>0</c:v>
                </c:pt>
              </c:numCache>
            </c:numRef>
          </c:val>
          <c:extLst>
            <c:ext xmlns:c16="http://schemas.microsoft.com/office/drawing/2014/chart" uri="{C3380CC4-5D6E-409C-BE32-E72D297353CC}">
              <c16:uniqueId val="{00000006-142D-45C7-B66D-1B3FDC13A7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AC5B-435A-AE88-6571C94BE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5B-435A-AE88-6571C94BE23D}"/>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AC5B-435A-AE88-6571C94BE2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'ادارة المجالس'!$O$10:$O$12</c:f>
              <c:strCache>
                <c:ptCount val="3"/>
                <c:pt idx="0">
                  <c:v>نجح</c:v>
                </c:pt>
                <c:pt idx="2">
                  <c:v>فشل</c:v>
                </c:pt>
              </c:strCache>
            </c:strRef>
          </c:cat>
          <c:val>
            <c:numRef>
              <c:f>'ادارة المجالس'!$P$10:$P$12</c:f>
              <c:numCache>
                <c:formatCode>General</c:formatCode>
                <c:ptCount val="3"/>
                <c:pt idx="0">
                  <c:v>0</c:v>
                </c:pt>
                <c:pt idx="2">
                  <c:v>0</c:v>
                </c:pt>
              </c:numCache>
            </c:numRef>
          </c:val>
          <c:extLst>
            <c:ext xmlns:c16="http://schemas.microsoft.com/office/drawing/2014/chart" uri="{C3380CC4-5D6E-409C-BE32-E72D297353CC}">
              <c16:uniqueId val="{00000006-AC5B-435A-AE88-6571C94BE2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75A-46B3-9710-397FC39D31E7}"/>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75A-46B3-9710-397FC39D3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'مهمة مسندة الى اخرين'!$O$10:$O$11</c:f>
              <c:strCache>
                <c:ptCount val="2"/>
                <c:pt idx="0">
                  <c:v>نجح</c:v>
                </c:pt>
                <c:pt idx="1">
                  <c:v>فشل</c:v>
                </c:pt>
              </c:strCache>
            </c:strRef>
          </c:cat>
          <c:val>
            <c:numRef>
              <c:f>'مهمة مسندة الى اخرين'!$P$10:$P$11</c:f>
              <c:numCache>
                <c:formatCode>General</c:formatCode>
                <c:ptCount val="2"/>
                <c:pt idx="0">
                  <c:v>1</c:v>
                </c:pt>
                <c:pt idx="1">
                  <c:v>1</c:v>
                </c:pt>
              </c:numCache>
            </c:numRef>
          </c:val>
          <c:extLst>
            <c:ext xmlns:c16="http://schemas.microsoft.com/office/drawing/2014/chart" uri="{C3380CC4-5D6E-409C-BE32-E72D297353CC}">
              <c16:uniqueId val="{00000004-875A-46B3-9710-397FC39D31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E06-4A8E-95A6-14991838D8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6-4A8E-95A6-14991838D859}"/>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1E06-4A8E-95A6-14991838D8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'ادارة الاجتماعات'!$O$10:$O$12</c:f>
              <c:strCache>
                <c:ptCount val="3"/>
                <c:pt idx="0">
                  <c:v>نجح</c:v>
                </c:pt>
                <c:pt idx="2">
                  <c:v>فشل</c:v>
                </c:pt>
              </c:strCache>
            </c:strRef>
          </c:cat>
          <c:val>
            <c:numRef>
              <c:f>'ادارة الاجتماعات'!$P$10:$P$12</c:f>
              <c:numCache>
                <c:formatCode>General</c:formatCode>
                <c:ptCount val="3"/>
                <c:pt idx="0">
                  <c:v>0</c:v>
                </c:pt>
                <c:pt idx="2">
                  <c:v>0</c:v>
                </c:pt>
              </c:numCache>
            </c:numRef>
          </c:val>
          <c:extLst>
            <c:ext xmlns:c16="http://schemas.microsoft.com/office/drawing/2014/chart" uri="{C3380CC4-5D6E-409C-BE32-E72D297353CC}">
              <c16:uniqueId val="{00000006-1E06-4A8E-95A6-14991838D8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BDAF-47DC-A4DB-3DEEA5CFC3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AF-47DC-A4DB-3DEEA5CFC3F3}"/>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BDAF-47DC-A4DB-3DEEA5CFC3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التفويض!$O$10:$O$12</c:f>
              <c:strCache>
                <c:ptCount val="3"/>
                <c:pt idx="0">
                  <c:v>نجح</c:v>
                </c:pt>
                <c:pt idx="2">
                  <c:v>فشل</c:v>
                </c:pt>
              </c:strCache>
            </c:strRef>
          </c:cat>
          <c:val>
            <c:numRef>
              <c:f>التفويض!$P$10:$P$12</c:f>
              <c:numCache>
                <c:formatCode>General</c:formatCode>
                <c:ptCount val="3"/>
                <c:pt idx="0">
                  <c:v>0</c:v>
                </c:pt>
                <c:pt idx="2">
                  <c:v>0</c:v>
                </c:pt>
              </c:numCache>
            </c:numRef>
          </c:val>
          <c:extLst>
            <c:ext xmlns:c16="http://schemas.microsoft.com/office/drawing/2014/chart" uri="{C3380CC4-5D6E-409C-BE32-E72D297353CC}">
              <c16:uniqueId val="{00000006-BDAF-47DC-A4DB-3DEEA5CFC3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r>
              <a:rPr lang="ar-SA" sz="2400"/>
              <a:t>حالة الاختبار </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homa"/>
              <a:ea typeface="Tahoma"/>
              <a:cs typeface="Tahoma"/>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A399-4859-BD6B-41B97C327D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99-4859-BD6B-41B97C327D19}"/>
              </c:ext>
            </c:extLst>
          </c:dPt>
          <c:dPt>
            <c:idx val="2"/>
            <c:bubble3D val="0"/>
            <c:spPr>
              <a:solidFill>
                <a:srgbClr val="E1E4E9"/>
              </a:solidFill>
              <a:ln w="19050">
                <a:solidFill>
                  <a:schemeClr val="lt1"/>
                </a:solidFill>
              </a:ln>
              <a:effectLst/>
            </c:spPr>
            <c:extLst>
              <c:ext xmlns:c16="http://schemas.microsoft.com/office/drawing/2014/chart" uri="{C3380CC4-5D6E-409C-BE32-E72D297353CC}">
                <c16:uniqueId val="{00000005-A399-4859-BD6B-41B97C327D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التقارير!$O$10:$O$12</c:f>
              <c:strCache>
                <c:ptCount val="3"/>
                <c:pt idx="0">
                  <c:v>نجح</c:v>
                </c:pt>
                <c:pt idx="2">
                  <c:v>فشل</c:v>
                </c:pt>
              </c:strCache>
            </c:strRef>
          </c:cat>
          <c:val>
            <c:numRef>
              <c:f>التقارير!$P$10:$P$12</c:f>
              <c:numCache>
                <c:formatCode>General</c:formatCode>
                <c:ptCount val="3"/>
                <c:pt idx="0">
                  <c:v>0</c:v>
                </c:pt>
                <c:pt idx="2">
                  <c:v>0</c:v>
                </c:pt>
              </c:numCache>
            </c:numRef>
          </c:val>
          <c:extLst>
            <c:ext xmlns:c16="http://schemas.microsoft.com/office/drawing/2014/chart" uri="{C3380CC4-5D6E-409C-BE32-E72D297353CC}">
              <c16:uniqueId val="{00000006-A399-4859-BD6B-41B97C327D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Tahoma"/>
              <a:ea typeface="Tahoma"/>
              <a:cs typeface="Tahoma"/>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2" name="Chart 2">
          <a:extLst>
            <a:ext uri="{FF2B5EF4-FFF2-40B4-BE49-F238E27FC236}">
              <a16:creationId xmlns:a16="http://schemas.microsoft.com/office/drawing/2014/main" id="{CEF9B9BB-D209-43FD-86B6-D78537178E4B}"/>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2" name="Chart 2">
          <a:extLst>
            <a:ext uri="{FF2B5EF4-FFF2-40B4-BE49-F238E27FC236}">
              <a16:creationId xmlns:a16="http://schemas.microsoft.com/office/drawing/2014/main" id="{4B083631-F222-4CCE-A20E-F1E9FBD65388}"/>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2" name="Chart 2">
          <a:extLst>
            <a:ext uri="{FF2B5EF4-FFF2-40B4-BE49-F238E27FC236}">
              <a16:creationId xmlns:a16="http://schemas.microsoft.com/office/drawing/2014/main" id="{E0A4821F-5A9A-4381-9E81-E8CFD66BD105}"/>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073A896A-C45C-4BDB-89DA-21BCFFE4EFCE}"/>
            </a:ext>
            <a:ext uri="{147F2762-F138-4A5C-976F-8EAC2B608ADB}">
              <a16:predDERef xmlns:a16="http://schemas.microsoft.com/office/drawing/2014/main" pred="{A36F3819-F2D6-4CF4-84EC-5F897E0CD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A516CAB0-D898-4B7A-9F67-071F512FC6D8}"/>
            </a:ext>
            <a:ext uri="{147F2762-F138-4A5C-976F-8EAC2B608ADB}">
              <a16:predDERef xmlns:a16="http://schemas.microsoft.com/office/drawing/2014/main" pred="{15592E93-B27E-4B69-9BBD-F74AFB7E1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317949</xdr:colOff>
      <xdr:row>0</xdr:row>
      <xdr:rowOff>0</xdr:rowOff>
    </xdr:from>
    <xdr:ext cx="3362632" cy="1097280"/>
    <xdr:pic>
      <xdr:nvPicPr>
        <xdr:cNvPr id="2" name="image1.png">
          <a:extLst>
            <a:ext uri="{FF2B5EF4-FFF2-40B4-BE49-F238E27FC236}">
              <a16:creationId xmlns:a16="http://schemas.microsoft.com/office/drawing/2014/main" id="{115A5876-4B62-4DB2-B948-7688DCDE71F5}"/>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3915373369" y="0"/>
          <a:ext cx="3362632" cy="1097280"/>
        </a:xfrm>
        <a:prstGeom prst="rect">
          <a:avLst/>
        </a:prstGeom>
        <a:noFill/>
      </xdr:spPr>
    </xdr:pic>
    <xdr:clientData fLocksWithSheet="0"/>
  </xdr:oneCellAnchor>
  <xdr:twoCellAnchor>
    <xdr:from>
      <xdr:col>3</xdr:col>
      <xdr:colOff>1513114</xdr:colOff>
      <xdr:row>5</xdr:row>
      <xdr:rowOff>331945</xdr:rowOff>
    </xdr:from>
    <xdr:to>
      <xdr:col>4</xdr:col>
      <xdr:colOff>2930772</xdr:colOff>
      <xdr:row>12</xdr:row>
      <xdr:rowOff>23178</xdr:rowOff>
    </xdr:to>
    <xdr:graphicFrame macro="">
      <xdr:nvGraphicFramePr>
        <xdr:cNvPr id="3" name="Chart 2">
          <a:extLst>
            <a:ext uri="{FF2B5EF4-FFF2-40B4-BE49-F238E27FC236}">
              <a16:creationId xmlns:a16="http://schemas.microsoft.com/office/drawing/2014/main" id="{800CD296-2C41-4965-8973-F0DD6C347D60}"/>
            </a:ext>
            <a:ext uri="{147F2762-F138-4A5C-976F-8EAC2B608ADB}">
              <a16:predDERef xmlns:a16="http://schemas.microsoft.com/office/drawing/2014/main" pred="{115A5876-4B62-4DB2-B948-7688DCDE7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3" name="Chart 2">
          <a:extLst>
            <a:ext uri="{FF2B5EF4-FFF2-40B4-BE49-F238E27FC236}">
              <a16:creationId xmlns:a16="http://schemas.microsoft.com/office/drawing/2014/main" id="{71FC3106-961D-4F2A-8746-92F469912BA7}"/>
            </a:ext>
            <a:ext uri="{147F2762-F138-4A5C-976F-8EAC2B608ADB}">
              <a16:predDERef xmlns:a16="http://schemas.microsoft.com/office/drawing/2014/main" pred="{CBA958EB-6B1D-46CB-8A06-7504F167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2" name="Chart 2">
          <a:extLst>
            <a:ext uri="{FF2B5EF4-FFF2-40B4-BE49-F238E27FC236}">
              <a16:creationId xmlns:a16="http://schemas.microsoft.com/office/drawing/2014/main" id="{95F6B72E-CD21-46BD-BD67-ACBAFC20A5FE}"/>
            </a:ext>
            <a:ext uri="{147F2762-F138-4A5C-976F-8EAC2B608ADB}">
              <a16:predDERef xmlns:a16="http://schemas.microsoft.com/office/drawing/2014/main" pred="{CBA958EB-6B1D-46CB-8A06-7504F167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4</xdr:col>
      <xdr:colOff>2930772</xdr:colOff>
      <xdr:row>13</xdr:row>
      <xdr:rowOff>23178</xdr:rowOff>
    </xdr:to>
    <xdr:graphicFrame macro="">
      <xdr:nvGraphicFramePr>
        <xdr:cNvPr id="2" name="Chart 2">
          <a:extLst>
            <a:ext uri="{FF2B5EF4-FFF2-40B4-BE49-F238E27FC236}">
              <a16:creationId xmlns:a16="http://schemas.microsoft.com/office/drawing/2014/main" id="{104BDE41-CEF2-4660-9AA3-4CE8AEB6CA65}"/>
            </a:ext>
            <a:ext uri="{147F2762-F138-4A5C-976F-8EAC2B608ADB}">
              <a16:predDERef xmlns:a16="http://schemas.microsoft.com/office/drawing/2014/main" pred="{CBA958EB-6B1D-46CB-8A06-7504F167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bmesa-my.sharepoint.com/Users/USER1/AppData/Local/Microsoft/Windows/INetCache/Content.Outlook/469OZFS6/&#1587;&#1610;&#1606;&#1575;&#1585;&#1610;&#1608;%20&#1573;&#1582;&#1578;&#1576;&#1575;&#1585;%20&#1606;&#1592;&#1575;&#1605;%20&#1578;&#1585;&#1575;&#1587;&#1604;%20_%20IMO%20%20comments%20_%20&#1575;&#1604;&#1573;&#1589;&#1583;&#1575;&#1585;%20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إصدار"/>
      <sheetName val="سيناريوهات الإختبار"/>
      <sheetName val="1 . نموذج الوارد"/>
      <sheetName val="2 . نموذج الصادر"/>
      <sheetName val="3 . نموذج الوارد السري"/>
      <sheetName val="4 . نموذج الصادر السري"/>
      <sheetName val="5 . نموذج الداخلي"/>
      <sheetName val="6 . التعاميم"/>
      <sheetName val="7 . القرارات"/>
      <sheetName val="_Values_"/>
      <sheetName val="8 . عملية - التخصيص"/>
      <sheetName val="9 . التفويض"/>
      <sheetName val="10 . المتابع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E83929-4438-40F7-8048-4A961D2E7C93}" name="Table22683713610121356" displayName="Table22683713610121356" ref="A16:G17" insertRowShift="1" totalsRowShown="0" headerRowDxfId="137" dataDxfId="135" headerRowBorderDxfId="136" tableBorderDxfId="134" totalsRowBorderDxfId="133">
  <autoFilter ref="A16:G17" xr:uid="{42EC6AF4-B771-48DE-8F9B-B00D10F4F178}">
    <filterColumn colId="0">
      <colorFilter dxfId="132"/>
    </filterColumn>
  </autoFilter>
  <tableColumns count="7">
    <tableColumn id="1" xr3:uid="{880ABB6D-AD13-4CFB-80E7-9921BB0CF115}" name="رقم" dataDxfId="131" dataCellStyle="Normal 2"/>
    <tableColumn id="2" xr3:uid="{D007F8AC-8DBF-429B-BAA8-80D55D2FEE13}" name="شروط مسبقة" dataDxfId="130" dataCellStyle="Normal 2"/>
    <tableColumn id="6" xr3:uid="{B69C8C74-D144-46E1-91AD-77DB0A6AF85B}" name="وصف حالة الاختبار " dataDxfId="129" dataCellStyle="Normal 2"/>
    <tableColumn id="8" xr3:uid="{293D7A11-4F5D-47F0-9B50-E583949DCA1A}" name="حالات الاختبار  " dataDxfId="128" dataCellStyle="Normal 2"/>
    <tableColumn id="3" xr3:uid="{141C619B-0456-4FA1-8385-DD81F5C73989}" name="النتائج المتوقعة" dataDxfId="127" dataCellStyle="Normal 2"/>
    <tableColumn id="4" xr3:uid="{97963718-F8D1-4AC9-8215-98A617BDC16E}" name="النتائج الفعلية " dataDxfId="126" dataCellStyle="Normal 2"/>
    <tableColumn id="7" xr3:uid="{0B551EAC-82AA-4241-BC0D-BC0E929D78DE}" name="نتائج الإختبار" dataDxfId="12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4FE2A5-549D-4DDC-A85E-B764C4FDD78E}" name="Table2268371361012132" displayName="Table2268371361012132" ref="A16:G19" insertRowShift="1" totalsRowShown="0" headerRowDxfId="124" dataDxfId="122" headerRowBorderDxfId="123" tableBorderDxfId="121" totalsRowBorderDxfId="120">
  <autoFilter ref="A16:G19" xr:uid="{42EC6AF4-B771-48DE-8F9B-B00D10F4F178}">
    <filterColumn colId="0">
      <colorFilter dxfId="119"/>
    </filterColumn>
  </autoFilter>
  <tableColumns count="7">
    <tableColumn id="1" xr3:uid="{3A36B515-D1D6-4B42-9933-B411CD92E9FB}" name="رقم" dataDxfId="118" dataCellStyle="Normal 2"/>
    <tableColumn id="2" xr3:uid="{865C5745-1EAB-4D5D-93D7-05B419B13122}" name="شروط مسبقة" dataDxfId="117" dataCellStyle="Normal 2"/>
    <tableColumn id="6" xr3:uid="{E79494F1-0F3F-423A-B449-2CC4F22D0074}" name="وصف حالة الاختبار " dataDxfId="116" dataCellStyle="Normal 2"/>
    <tableColumn id="8" xr3:uid="{E2F73076-2827-432D-AA28-B4B2C92161EF}" name="حالات الاختبار  " dataDxfId="115" dataCellStyle="Normal 2"/>
    <tableColumn id="3" xr3:uid="{712CB474-993E-4E19-A61A-42FBA4480569}" name="النتائج المتوقعة" dataDxfId="114" dataCellStyle="Normal 2"/>
    <tableColumn id="4" xr3:uid="{42929E55-91E0-4099-884C-D4278FEBBB51}" name="النتائج الفعلية " dataDxfId="113" dataCellStyle="Normal 2"/>
    <tableColumn id="7" xr3:uid="{85A28383-E02B-4FCD-8871-AD43048EF359}" name="نتائج الإختبار" dataDxfId="11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A8F9EE-3F63-4117-B4AB-46F7C9226398}" name="Table2268371361012135" displayName="Table2268371361012135" ref="A16:G31" insertRowShift="1" totalsRowShown="0" headerRowDxfId="111" dataDxfId="109" headerRowBorderDxfId="110" tableBorderDxfId="108" totalsRowBorderDxfId="107">
  <autoFilter ref="A16:G31" xr:uid="{42EC6AF4-B771-48DE-8F9B-B00D10F4F178}"/>
  <tableColumns count="7">
    <tableColumn id="1" xr3:uid="{C059B9D9-4295-4DA5-9950-6D35D916BE45}" name="رقم" dataDxfId="106" dataCellStyle="Normal 2"/>
    <tableColumn id="2" xr3:uid="{33B474CB-07D4-45EA-A710-68B8AA75CBA6}" name="شروط مسبقة" dataDxfId="105" dataCellStyle="Normal 2"/>
    <tableColumn id="6" xr3:uid="{BBA6CFDD-AC98-4DEF-AB55-4894AD582E1D}" name="وصف حالة الاختبار " dataDxfId="104" dataCellStyle="Normal 2"/>
    <tableColumn id="8" xr3:uid="{B5E8B5BE-DA14-4E8A-B14C-92CC4B385569}" name="حالات الاختبار  " dataDxfId="103" dataCellStyle="Normal 2"/>
    <tableColumn id="3" xr3:uid="{833C6A6E-05CC-4627-A3CA-2B7CE551C518}" name="النتائج المتوقعة" dataDxfId="102" dataCellStyle="Normal 2"/>
    <tableColumn id="4" xr3:uid="{D2D930FD-A823-4BB8-BDE6-E963805496D3}" name="النتائج الفعلية " dataDxfId="101" dataCellStyle="Normal 2"/>
    <tableColumn id="7" xr3:uid="{93CD962F-F47A-4CB0-AF5F-B72BEEC22958}" name="نتائج الإختبار" dataDxfId="10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A39886-5057-4A3A-A6A9-0D18D523DE52}" name="Table226837136101213" displayName="Table226837136101213" ref="A16:G29" insertRowShift="1" totalsRowShown="0" headerRowDxfId="99" dataDxfId="97" headerRowBorderDxfId="98" tableBorderDxfId="96" totalsRowBorderDxfId="95">
  <autoFilter ref="A16:G29" xr:uid="{42EC6AF4-B771-48DE-8F9B-B00D10F4F178}"/>
  <tableColumns count="7">
    <tableColumn id="1" xr3:uid="{C54D9031-F754-49F6-8BB2-1B2FFC4505B8}" name="رقم" dataDxfId="94" dataCellStyle="Normal 2"/>
    <tableColumn id="2" xr3:uid="{0D2582E6-C97C-4FD5-8AB2-1ABEFCCF0858}" name="شروط مسبقة" dataDxfId="93" dataCellStyle="Normal 2"/>
    <tableColumn id="6" xr3:uid="{84F511CB-EFE5-4585-AC5B-E48A980E5786}" name="وصف حالة الاختبار " dataDxfId="92" dataCellStyle="Normal 2"/>
    <tableColumn id="8" xr3:uid="{B2730A32-E9C3-45E0-8B15-9979AF232460}" name="حالات الاختبار  " dataDxfId="91" dataCellStyle="Normal 2"/>
    <tableColumn id="3" xr3:uid="{8059BA7F-C660-43F6-A8FF-A11B4B4A94E5}" name="النتائج المتوقعة" dataDxfId="90" dataCellStyle="Normal 2"/>
    <tableColumn id="4" xr3:uid="{0C52E04E-2AA5-4D38-B77F-0B90C6A584C9}" name="النتائج الفعلية " dataDxfId="89" dataCellStyle="Normal 2"/>
    <tableColumn id="7" xr3:uid="{711E02B9-7ADB-47FE-BB93-112D39E1FEFD}" name="نتائج الإختبار" dataDxfId="88"/>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733DFE-DE5E-47F7-B4E4-521749D39859}" name="Table2268371361012" displayName="Table2268371361012" ref="A16:G28" insertRowShift="1" totalsRowShown="0" headerRowDxfId="87" dataDxfId="85" headerRowBorderDxfId="86" tableBorderDxfId="84" totalsRowBorderDxfId="83">
  <autoFilter ref="A16:G28" xr:uid="{42EC6AF4-B771-48DE-8F9B-B00D10F4F178}"/>
  <tableColumns count="7">
    <tableColumn id="1" xr3:uid="{1C6ED977-5407-4927-B185-DDFB2C11D8EB}" name="رقم" dataDxfId="82" dataCellStyle="Normal 2"/>
    <tableColumn id="2" xr3:uid="{3080B1D4-A9EA-4152-910E-3F56637AFFEC}" name="شروط مسبقة" dataDxfId="81" dataCellStyle="Normal 2"/>
    <tableColumn id="6" xr3:uid="{79193F34-AA89-4713-90F7-9EBC31C66320}" name="وصف حالة الاختبار " dataDxfId="80" dataCellStyle="Normal 2"/>
    <tableColumn id="8" xr3:uid="{33944DF4-3846-4914-BFA9-9F369FA75C89}" name="حالات الاختبار  " dataDxfId="79" dataCellStyle="Normal 2"/>
    <tableColumn id="3" xr3:uid="{BABD75C3-BCC3-4A12-BEE6-E82D9DA5183B}" name="النتائج المتوقعة" dataDxfId="78" dataCellStyle="Normal 2"/>
    <tableColumn id="4" xr3:uid="{AD2FAFDB-E4F3-486B-B9F9-742C128293F7}" name="النتائج الفعلية " dataDxfId="77" dataCellStyle="Normal 2"/>
    <tableColumn id="7" xr3:uid="{E0400640-0FC3-404B-B19B-59F211209BE0}" name="نتائج الإختبار" dataDxfId="7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DFD81B-7CC4-4E2D-82D1-B7ADAD6C10D6}" name="Table22683713658" displayName="Table22683713658" ref="A15:G19" insertRowShift="1" totalsRowShown="0" headerRowDxfId="75" dataDxfId="73" headerRowBorderDxfId="74" tableBorderDxfId="72" totalsRowBorderDxfId="71">
  <autoFilter ref="A15:G19" xr:uid="{42EC6AF4-B771-48DE-8F9B-B00D10F4F178}"/>
  <tableColumns count="7">
    <tableColumn id="1" xr3:uid="{C7FB11A9-BEF9-4FE8-AD46-03F4C3A4FB91}" name="رقم" dataDxfId="70"/>
    <tableColumn id="2" xr3:uid="{07570848-7BB0-42FA-8FFE-88240C789475}" name="شروط مسبقة" dataDxfId="69" dataCellStyle="Normal 2"/>
    <tableColumn id="6" xr3:uid="{EAEC4A0D-660F-492C-BD96-94C9202B79AB}" name="وصف حالة الاختبار " dataDxfId="68" dataCellStyle="Normal 2"/>
    <tableColumn id="8" xr3:uid="{08B6483E-E9F9-4446-97BB-0489C6E67C9C}" name="حالات الاختبار  " dataDxfId="67" dataCellStyle="Normal 2"/>
    <tableColumn id="3" xr3:uid="{B02AFA1C-3A57-481D-9419-16ADA276CE32}" name="النتائج المتوقعة" dataDxfId="66" dataCellStyle="Normal 2"/>
    <tableColumn id="4" xr3:uid="{8B045A65-F4D6-4B7E-AB81-431DE515563F}" name="النتائج الفعلية " dataDxfId="65" dataCellStyle="Normal 2"/>
    <tableColumn id="7" xr3:uid="{261604BA-E012-411E-BE21-4EF137D593BE}" name="نتائج الإختبار" dataDxfId="64"/>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969FB2-28FF-422A-A7B6-2E955EB6C0AB}" name="Table2268371361014" displayName="Table2268371361014" ref="A16:G33" insertRowShift="1" totalsRowShown="0" headerRowDxfId="63" dataDxfId="61" headerRowBorderDxfId="62" tableBorderDxfId="60" totalsRowBorderDxfId="59">
  <autoFilter ref="A16:G33" xr:uid="{42EC6AF4-B771-48DE-8F9B-B00D10F4F178}"/>
  <tableColumns count="7">
    <tableColumn id="1" xr3:uid="{F3C96C8D-164B-4159-8C28-CADFC0EF4B23}" name="رقم" dataDxfId="58" dataCellStyle="Normal 2"/>
    <tableColumn id="2" xr3:uid="{1BBB95B1-F298-4E1B-8E80-A8CB4D1D440F}" name="شروط مسبقة" dataDxfId="57" dataCellStyle="Normal 2"/>
    <tableColumn id="6" xr3:uid="{F577D6CA-177B-4EB3-B586-698867837F70}" name="وصف حالة الاختبار " dataDxfId="56" dataCellStyle="Normal 2"/>
    <tableColumn id="8" xr3:uid="{1A35A365-AD4B-4312-A356-08DA25E30B22}" name="حالات الاختبار  " dataDxfId="55" dataCellStyle="Normal 2"/>
    <tableColumn id="3" xr3:uid="{3B89B691-BBA9-4CCC-B819-7C91411B8A7F}" name="النتائج المتوقعة" dataDxfId="54" dataCellStyle="Normal 2"/>
    <tableColumn id="4" xr3:uid="{8687B6A7-E58B-4A32-B8AA-33FA498DC740}" name="النتائج الفعلية " dataDxfId="53" dataCellStyle="Normal 2"/>
    <tableColumn id="7" xr3:uid="{0CD39B30-DAC7-4CC9-A78D-C42CF00D525E}" name="نتائج الإختبار" dataDxfId="52"/>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9FCF49-F9C9-4C9D-971E-769B21D4C5D9}" name="Table22683713610147" displayName="Table22683713610147" ref="A16:G18" insertRowShift="1" totalsRowShown="0" headerRowDxfId="51" dataDxfId="49" headerRowBorderDxfId="50" tableBorderDxfId="48" totalsRowBorderDxfId="47">
  <autoFilter ref="A16:G18" xr:uid="{42EC6AF4-B771-48DE-8F9B-B00D10F4F178}"/>
  <tableColumns count="7">
    <tableColumn id="1" xr3:uid="{CD2A60A8-4AC8-4B66-AC4C-B55D8398CA8A}" name="رقم" dataDxfId="46" dataCellStyle="Normal 2"/>
    <tableColumn id="2" xr3:uid="{2EDD3467-8C7D-45EC-B036-878791D420FC}" name="شروط مسبقة" dataDxfId="45" dataCellStyle="Normal 2"/>
    <tableColumn id="6" xr3:uid="{63B6339A-6800-4B82-BDBA-F9B1DE2EF34D}" name="وصف حالة الاختبار " dataDxfId="44" dataCellStyle="Normal 2"/>
    <tableColumn id="8" xr3:uid="{4BF7BD42-322A-430E-B7B4-1068F5820075}" name="حالات الاختبار  " dataDxfId="43" dataCellStyle="Normal 2"/>
    <tableColumn id="3" xr3:uid="{4D202D00-E67A-4CE3-BE17-F98C0FF80D86}" name="النتائج المتوقعة" dataDxfId="42" dataCellStyle="Normal 2"/>
    <tableColumn id="4" xr3:uid="{913E0DF5-C105-4FAE-937D-2A320C4920C2}" name="النتائج الفعلية " dataDxfId="41" dataCellStyle="Normal 2"/>
    <tableColumn id="7" xr3:uid="{B75BEC1C-C90A-4B54-92D0-F15FD16702FF}" name="نتائج الإختبار" dataDxfId="4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A9FFB5-7F6B-4758-90B6-0C05452433B8}" name="Table22683713610149" displayName="Table22683713610149" ref="A16:G21" insertRowShift="1" totalsRowShown="0" headerRowDxfId="39" dataDxfId="37" headerRowBorderDxfId="38" tableBorderDxfId="36" totalsRowBorderDxfId="35">
  <autoFilter ref="A16:G21" xr:uid="{42EC6AF4-B771-48DE-8F9B-B00D10F4F178}"/>
  <tableColumns count="7">
    <tableColumn id="1" xr3:uid="{56161858-047F-4A3B-A170-BF6E3E7852C4}" name="رقم" dataDxfId="34" dataCellStyle="Normal 2"/>
    <tableColumn id="2" xr3:uid="{0042A09B-08A4-4C8F-83E4-8601860183BE}" name="شروط مسبقة" dataDxfId="33" dataCellStyle="Normal 2"/>
    <tableColumn id="6" xr3:uid="{E57CEDD4-AC6D-4E88-A709-AF9FAC921872}" name="وصف حالة الاختبار " dataDxfId="32" dataCellStyle="Normal 2"/>
    <tableColumn id="8" xr3:uid="{1E8AEEC9-B454-48D3-B057-A86FBEA2393E}" name="حالات الاختبار  " dataDxfId="31" dataCellStyle="Normal 2"/>
    <tableColumn id="3" xr3:uid="{7EB30132-0A52-406E-83A5-07A0C6D3C3B1}" name="النتائج المتوقعة" dataDxfId="30" dataCellStyle="Normal 2"/>
    <tableColumn id="4" xr3:uid="{889B446F-6036-4B50-B652-21A6D3D58DBE}" name="النتائج الفعلية " dataDxfId="29" dataCellStyle="Normal 2"/>
    <tableColumn id="7" xr3:uid="{E5C85E57-684C-47A9-A6E7-1AFF813BBE93}" name="نتائج الإختبار" dataDxfId="28"/>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3C78D8"/>
      </a:hlink>
      <a:folHlink>
        <a:srgbClr val="3C78D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D6C4-22CE-493F-907D-6DA49B4E59A6}">
  <sheetPr>
    <outlinePr summaryBelow="0" summaryRight="0"/>
  </sheetPr>
  <dimension ref="A1:AL908"/>
  <sheetViews>
    <sheetView rightToLeft="1" tabSelected="1" zoomScale="30" zoomScaleNormal="30" workbookViewId="0">
      <selection activeCell="C46" sqref="C46"/>
    </sheetView>
  </sheetViews>
  <sheetFormatPr defaultColWidth="12.6640625" defaultRowHeight="15.75" customHeight="1"/>
  <cols>
    <col min="1" max="1" width="26.88671875" customWidth="1"/>
    <col min="2" max="2" width="9.6640625" hidden="1" customWidth="1"/>
    <col min="3" max="3" width="35.109375" customWidth="1"/>
    <col min="4" max="4" width="32.33203125" customWidth="1"/>
    <col min="5" max="5" width="48.44140625" customWidth="1"/>
    <col min="6" max="6" width="68" customWidth="1"/>
    <col min="7" max="7" width="117.44140625" customWidth="1"/>
    <col min="8" max="8" width="87.6640625" customWidth="1"/>
    <col min="9" max="16" width="9.109375" bestFit="1" customWidth="1"/>
    <col min="17" max="17" width="14" customWidth="1"/>
    <col min="18" max="18" width="19.88671875" customWidth="1"/>
  </cols>
  <sheetData>
    <row r="1" spans="1:38" ht="15.75" customHeight="1">
      <c r="A1" s="118"/>
      <c r="B1" s="119"/>
      <c r="C1" s="119"/>
      <c r="D1" s="120"/>
      <c r="E1" s="127" t="s">
        <v>0</v>
      </c>
      <c r="F1" s="127"/>
      <c r="G1" s="127"/>
      <c r="H1" s="127"/>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row>
    <row r="2" spans="1:38" ht="15.75" customHeight="1">
      <c r="A2" s="121"/>
      <c r="B2" s="122"/>
      <c r="C2" s="122"/>
      <c r="D2" s="123"/>
      <c r="E2" s="127"/>
      <c r="F2" s="127"/>
      <c r="G2" s="127"/>
      <c r="H2" s="127"/>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row>
    <row r="3" spans="1:38" ht="15.75" customHeight="1">
      <c r="A3" s="121"/>
      <c r="B3" s="122"/>
      <c r="C3" s="122"/>
      <c r="D3" s="123"/>
      <c r="E3" s="127"/>
      <c r="F3" s="127"/>
      <c r="G3" s="127"/>
      <c r="H3" s="127"/>
      <c r="I3" s="51"/>
      <c r="J3" s="51"/>
      <c r="K3" s="51"/>
      <c r="L3" s="51"/>
      <c r="M3" s="51"/>
      <c r="N3" s="86"/>
      <c r="O3" s="86"/>
      <c r="P3" s="86"/>
      <c r="Q3" s="86"/>
      <c r="R3" s="86"/>
      <c r="S3" s="86"/>
      <c r="T3" s="86"/>
      <c r="U3" s="86"/>
      <c r="V3" s="86"/>
      <c r="W3" s="86"/>
      <c r="X3" s="86"/>
      <c r="Y3" s="51"/>
      <c r="Z3" s="51"/>
      <c r="AA3" s="51"/>
      <c r="AB3" s="51"/>
      <c r="AC3" s="51"/>
      <c r="AD3" s="51"/>
      <c r="AE3" s="51"/>
      <c r="AF3" s="51"/>
      <c r="AG3" s="51"/>
      <c r="AH3" s="51"/>
      <c r="AI3" s="51"/>
      <c r="AJ3" s="51"/>
      <c r="AK3" s="51"/>
      <c r="AL3" s="51"/>
    </row>
    <row r="4" spans="1:38" ht="98.4" customHeight="1">
      <c r="A4" s="124"/>
      <c r="B4" s="125"/>
      <c r="C4" s="125"/>
      <c r="D4" s="126"/>
      <c r="E4" s="127"/>
      <c r="F4" s="127"/>
      <c r="G4" s="127"/>
      <c r="H4" s="127"/>
      <c r="I4" s="51"/>
      <c r="J4" s="51"/>
      <c r="K4" s="51"/>
      <c r="L4" s="51"/>
      <c r="M4" s="51"/>
      <c r="N4" s="86"/>
      <c r="O4" s="86"/>
      <c r="P4" s="86"/>
      <c r="Q4" s="86"/>
      <c r="R4" s="86"/>
      <c r="S4" s="86"/>
      <c r="T4" s="86"/>
      <c r="U4" s="86"/>
      <c r="V4" s="86"/>
      <c r="W4" s="86"/>
      <c r="X4" s="86"/>
      <c r="Y4" s="51"/>
      <c r="Z4" s="51"/>
      <c r="AA4" s="51"/>
      <c r="AB4" s="51"/>
      <c r="AC4" s="51"/>
      <c r="AD4" s="51"/>
      <c r="AE4" s="51"/>
      <c r="AF4" s="51"/>
      <c r="AG4" s="51"/>
      <c r="AH4" s="51"/>
      <c r="AI4" s="51"/>
      <c r="AJ4" s="51"/>
      <c r="AK4" s="51"/>
      <c r="AL4" s="51"/>
    </row>
    <row r="5" spans="1:38" ht="1.2" customHeight="1">
      <c r="A5" s="128" t="s">
        <v>1</v>
      </c>
      <c r="B5" s="129"/>
      <c r="C5" s="130"/>
      <c r="D5" s="134"/>
      <c r="E5" s="135"/>
      <c r="F5" s="135"/>
      <c r="G5" s="135"/>
      <c r="H5" s="136"/>
      <c r="I5" s="51"/>
      <c r="J5" s="51"/>
      <c r="K5" s="51"/>
      <c r="L5" s="51"/>
      <c r="M5" s="51"/>
      <c r="N5" s="86"/>
      <c r="O5" s="86"/>
      <c r="P5" s="86"/>
      <c r="Q5" s="86"/>
      <c r="R5" s="86"/>
      <c r="S5" s="86"/>
      <c r="T5" s="86"/>
      <c r="U5" s="86"/>
      <c r="V5" s="86"/>
      <c r="W5" s="86"/>
      <c r="X5" s="86"/>
      <c r="Y5" s="51"/>
      <c r="Z5" s="51"/>
      <c r="AA5" s="51"/>
      <c r="AB5" s="51"/>
      <c r="AC5" s="51"/>
      <c r="AD5" s="51"/>
      <c r="AE5" s="51"/>
      <c r="AF5" s="51"/>
      <c r="AG5" s="51"/>
      <c r="AH5" s="51"/>
      <c r="AI5" s="51"/>
      <c r="AJ5" s="51"/>
      <c r="AK5" s="51"/>
      <c r="AL5" s="51"/>
    </row>
    <row r="6" spans="1:38" ht="127.95" customHeight="1">
      <c r="A6" s="131"/>
      <c r="B6" s="132"/>
      <c r="C6" s="133"/>
      <c r="D6" s="137"/>
      <c r="E6" s="138"/>
      <c r="F6" s="138"/>
      <c r="G6" s="138"/>
      <c r="H6" s="139"/>
      <c r="I6" s="51"/>
      <c r="J6" s="51"/>
      <c r="K6" s="51"/>
      <c r="L6" s="51"/>
      <c r="M6" s="51"/>
      <c r="N6" s="86"/>
      <c r="O6" s="86"/>
      <c r="P6" s="86"/>
      <c r="Q6" s="86"/>
      <c r="R6" s="86"/>
      <c r="S6" s="86"/>
      <c r="T6" s="86"/>
      <c r="U6" s="86"/>
      <c r="V6" s="86"/>
      <c r="W6" s="86"/>
      <c r="X6" s="86"/>
      <c r="Y6" s="51"/>
      <c r="Z6" s="51"/>
      <c r="AA6" s="51"/>
      <c r="AB6" s="51"/>
      <c r="AC6" s="51"/>
      <c r="AD6" s="51"/>
      <c r="AE6" s="51"/>
      <c r="AF6" s="51"/>
      <c r="AG6" s="51"/>
      <c r="AH6" s="51"/>
      <c r="AI6" s="51"/>
      <c r="AJ6" s="51"/>
      <c r="AK6" s="51"/>
      <c r="AL6" s="51"/>
    </row>
    <row r="7" spans="1:38" ht="72.599999999999994" customHeight="1">
      <c r="A7" s="54" t="s">
        <v>2</v>
      </c>
      <c r="B7" s="55" t="s">
        <v>3</v>
      </c>
      <c r="C7" s="55" t="s">
        <v>3</v>
      </c>
      <c r="D7" s="55" t="s">
        <v>4</v>
      </c>
      <c r="E7" s="112" t="s">
        <v>5</v>
      </c>
      <c r="F7" s="113"/>
      <c r="G7" s="54" t="s">
        <v>6</v>
      </c>
      <c r="H7" s="54" t="s">
        <v>7</v>
      </c>
      <c r="I7" s="51"/>
      <c r="J7" s="51"/>
      <c r="K7" s="51"/>
      <c r="L7" s="51"/>
      <c r="M7" s="51"/>
      <c r="N7" s="87"/>
      <c r="O7" s="87"/>
      <c r="P7" s="87"/>
      <c r="Q7" s="87"/>
      <c r="R7" s="87"/>
      <c r="S7" s="86"/>
      <c r="T7" s="86"/>
      <c r="U7" s="86"/>
      <c r="V7" s="86"/>
      <c r="W7" s="86"/>
      <c r="X7" s="86"/>
      <c r="Y7" s="51"/>
      <c r="Z7" s="51"/>
      <c r="AA7" s="51"/>
      <c r="AB7" s="51"/>
      <c r="AC7" s="51"/>
      <c r="AD7" s="51"/>
      <c r="AE7" s="51"/>
      <c r="AF7" s="51"/>
      <c r="AG7" s="51"/>
      <c r="AH7" s="51"/>
      <c r="AI7" s="51"/>
      <c r="AJ7" s="51"/>
      <c r="AK7" s="51"/>
      <c r="AL7" s="51"/>
    </row>
    <row r="8" spans="1:38" ht="49.2">
      <c r="A8" s="56"/>
      <c r="B8" s="57" t="s">
        <v>9</v>
      </c>
      <c r="C8" s="57" t="s">
        <v>10</v>
      </c>
      <c r="D8" s="57">
        <v>1</v>
      </c>
      <c r="E8" s="114" t="s">
        <v>11</v>
      </c>
      <c r="F8" s="115"/>
      <c r="G8" s="56" t="s">
        <v>8</v>
      </c>
      <c r="H8" s="56" t="s">
        <v>12</v>
      </c>
      <c r="I8" s="51"/>
      <c r="J8" s="51"/>
      <c r="K8" s="51"/>
      <c r="L8" s="51"/>
      <c r="M8" s="51"/>
      <c r="N8" s="87"/>
      <c r="O8" s="87"/>
      <c r="P8" s="87"/>
      <c r="Q8" s="87"/>
      <c r="R8" s="87"/>
      <c r="S8" s="86"/>
      <c r="T8" s="86"/>
      <c r="U8" s="86"/>
      <c r="V8" s="86"/>
      <c r="W8" s="86"/>
      <c r="X8" s="86"/>
      <c r="Y8" s="51"/>
      <c r="Z8" s="51"/>
      <c r="AA8" s="51"/>
      <c r="AB8" s="51"/>
      <c r="AC8" s="51"/>
      <c r="AD8" s="51"/>
      <c r="AE8" s="51"/>
      <c r="AF8" s="51"/>
      <c r="AG8" s="51"/>
      <c r="AH8" s="51"/>
      <c r="AI8" s="51"/>
      <c r="AJ8" s="51"/>
      <c r="AK8" s="51"/>
      <c r="AL8" s="51"/>
    </row>
    <row r="9" spans="1:38" ht="43.2" customHeight="1">
      <c r="A9" s="58"/>
      <c r="B9" s="57" t="s">
        <v>13</v>
      </c>
      <c r="C9" s="57" t="s">
        <v>13</v>
      </c>
      <c r="D9" s="57">
        <v>1</v>
      </c>
      <c r="E9" s="116" t="s">
        <v>14</v>
      </c>
      <c r="F9" s="117"/>
      <c r="G9" s="56" t="s">
        <v>15</v>
      </c>
      <c r="H9" s="56" t="s">
        <v>16</v>
      </c>
      <c r="I9" s="51"/>
      <c r="J9" s="51"/>
      <c r="K9" s="51"/>
      <c r="L9" s="51"/>
      <c r="M9" s="51"/>
      <c r="N9" s="87"/>
      <c r="O9" s="87"/>
      <c r="P9" s="87"/>
      <c r="Q9" s="87"/>
      <c r="R9" s="87"/>
      <c r="S9" s="86"/>
      <c r="T9" s="86"/>
      <c r="U9" s="86"/>
      <c r="V9" s="86"/>
      <c r="W9" s="86"/>
      <c r="X9" s="86"/>
      <c r="Y9" s="51"/>
      <c r="Z9" s="51"/>
      <c r="AA9" s="51"/>
      <c r="AB9" s="51"/>
      <c r="AC9" s="51"/>
      <c r="AD9" s="51"/>
      <c r="AE9" s="51"/>
      <c r="AF9" s="51"/>
      <c r="AG9" s="51"/>
      <c r="AH9" s="51"/>
      <c r="AI9" s="51"/>
      <c r="AJ9" s="51"/>
      <c r="AK9" s="51"/>
      <c r="AL9" s="51"/>
    </row>
    <row r="10" spans="1:38" ht="40.200000000000003" customHeight="1">
      <c r="A10" s="58"/>
      <c r="B10" s="57" t="s">
        <v>17</v>
      </c>
      <c r="C10" s="57" t="s">
        <v>17</v>
      </c>
      <c r="D10" s="57">
        <v>1</v>
      </c>
      <c r="E10" s="116" t="s">
        <v>14</v>
      </c>
      <c r="F10" s="117"/>
      <c r="G10" s="56" t="s">
        <v>18</v>
      </c>
      <c r="H10" s="56" t="s">
        <v>12</v>
      </c>
      <c r="I10" s="51"/>
      <c r="J10" s="51"/>
      <c r="K10" s="51"/>
      <c r="L10" s="51"/>
      <c r="M10" s="51"/>
      <c r="N10" s="86"/>
      <c r="O10" s="87"/>
      <c r="P10" s="87"/>
      <c r="Q10" s="87"/>
      <c r="R10" s="87"/>
      <c r="S10" s="86"/>
      <c r="T10" s="86"/>
      <c r="U10" s="86"/>
      <c r="V10" s="86"/>
      <c r="W10" s="86"/>
      <c r="X10" s="86"/>
      <c r="Y10" s="51"/>
      <c r="Z10" s="51"/>
      <c r="AA10" s="51"/>
      <c r="AB10" s="51"/>
      <c r="AC10" s="51"/>
      <c r="AD10" s="51"/>
      <c r="AE10" s="51"/>
      <c r="AF10" s="51"/>
      <c r="AG10" s="51"/>
      <c r="AH10" s="51"/>
      <c r="AI10" s="51"/>
      <c r="AJ10" s="51"/>
      <c r="AK10" s="51"/>
      <c r="AL10" s="51"/>
    </row>
    <row r="11" spans="1:38" ht="36" customHeight="1">
      <c r="A11" s="58"/>
      <c r="B11" s="57" t="s">
        <v>19</v>
      </c>
      <c r="C11" s="57" t="s">
        <v>19</v>
      </c>
      <c r="D11" s="57">
        <v>1</v>
      </c>
      <c r="E11" s="108" t="s">
        <v>20</v>
      </c>
      <c r="F11" s="109"/>
      <c r="G11" s="56" t="s">
        <v>21</v>
      </c>
      <c r="H11" s="56" t="s">
        <v>12</v>
      </c>
      <c r="I11" s="51"/>
      <c r="J11" s="51"/>
      <c r="K11" s="51"/>
      <c r="L11" s="51"/>
      <c r="M11" s="51"/>
      <c r="N11" s="51"/>
      <c r="O11" s="77"/>
      <c r="P11" s="77"/>
      <c r="Q11" s="77"/>
      <c r="R11" s="77"/>
      <c r="S11" s="51"/>
      <c r="T11" s="51"/>
      <c r="U11" s="51"/>
      <c r="V11" s="51"/>
      <c r="W11" s="51"/>
      <c r="X11" s="51"/>
      <c r="Y11" s="51"/>
      <c r="Z11" s="51"/>
      <c r="AA11" s="51"/>
      <c r="AB11" s="51"/>
      <c r="AC11" s="51"/>
      <c r="AD11" s="51"/>
      <c r="AE11" s="51"/>
      <c r="AF11" s="51"/>
      <c r="AG11" s="51"/>
      <c r="AH11" s="51"/>
      <c r="AI11" s="51"/>
      <c r="AJ11" s="51"/>
      <c r="AK11" s="51"/>
      <c r="AL11" s="51"/>
    </row>
    <row r="12" spans="1:38" ht="39.6" customHeight="1">
      <c r="A12" s="58"/>
      <c r="B12" s="57" t="s">
        <v>23</v>
      </c>
      <c r="C12" s="57" t="s">
        <v>24</v>
      </c>
      <c r="D12" s="57">
        <v>1</v>
      </c>
      <c r="E12" s="108" t="s">
        <v>20</v>
      </c>
      <c r="F12" s="109"/>
      <c r="G12" s="56" t="s">
        <v>21</v>
      </c>
      <c r="H12" s="56" t="s">
        <v>16</v>
      </c>
      <c r="I12" s="51"/>
      <c r="J12" s="51"/>
      <c r="K12" s="51"/>
      <c r="L12" s="51"/>
      <c r="M12" s="51"/>
      <c r="N12" s="51"/>
      <c r="O12" s="77"/>
      <c r="P12" s="77"/>
      <c r="Q12" s="77"/>
      <c r="R12" s="77"/>
      <c r="S12" s="51"/>
      <c r="T12" s="51"/>
      <c r="U12" s="51"/>
      <c r="V12" s="51"/>
      <c r="W12" s="51"/>
      <c r="X12" s="51"/>
      <c r="Y12" s="51"/>
      <c r="Z12" s="51"/>
      <c r="AA12" s="51"/>
      <c r="AB12" s="51"/>
      <c r="AC12" s="51"/>
      <c r="AD12" s="51"/>
      <c r="AE12" s="51"/>
      <c r="AF12" s="51"/>
      <c r="AG12" s="51"/>
      <c r="AH12" s="51"/>
      <c r="AI12" s="51"/>
      <c r="AJ12" s="51"/>
      <c r="AK12" s="51"/>
      <c r="AL12" s="51"/>
    </row>
    <row r="13" spans="1:38" ht="39.6" customHeight="1">
      <c r="A13" s="58"/>
      <c r="B13" s="57" t="s">
        <v>25</v>
      </c>
      <c r="C13" s="57" t="s">
        <v>26</v>
      </c>
      <c r="D13" s="57">
        <v>1</v>
      </c>
      <c r="E13" s="110" t="s">
        <v>27</v>
      </c>
      <c r="F13" s="111"/>
      <c r="G13" s="56" t="s">
        <v>21</v>
      </c>
      <c r="H13" s="56" t="s">
        <v>16</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row>
    <row r="14" spans="1:38" ht="43.95" customHeight="1">
      <c r="A14" s="58"/>
      <c r="B14" s="57" t="s">
        <v>28</v>
      </c>
      <c r="C14" s="57" t="s">
        <v>29</v>
      </c>
      <c r="D14" s="57">
        <v>1</v>
      </c>
      <c r="E14" s="110" t="s">
        <v>27</v>
      </c>
      <c r="F14" s="111"/>
      <c r="G14" s="56" t="s">
        <v>21</v>
      </c>
      <c r="H14" s="56" t="s">
        <v>12</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row>
    <row r="15" spans="1:38" ht="45" customHeight="1">
      <c r="A15" s="58"/>
      <c r="B15" s="57"/>
      <c r="C15" s="57" t="s">
        <v>30</v>
      </c>
      <c r="D15" s="57">
        <v>1</v>
      </c>
      <c r="E15" s="106" t="s">
        <v>31</v>
      </c>
      <c r="F15" s="107"/>
      <c r="G15" s="56" t="s">
        <v>21</v>
      </c>
      <c r="H15" s="56" t="s">
        <v>12</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row>
    <row r="16" spans="1:38" ht="45" customHeight="1">
      <c r="A16" s="58"/>
      <c r="B16" s="59"/>
      <c r="C16" s="57" t="s">
        <v>32</v>
      </c>
      <c r="D16" s="57">
        <v>1</v>
      </c>
      <c r="E16" s="106" t="s">
        <v>31</v>
      </c>
      <c r="F16" s="107"/>
      <c r="G16" s="56" t="s">
        <v>21</v>
      </c>
      <c r="H16" s="56" t="s">
        <v>16</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row>
    <row r="17" spans="1:38" ht="77.400000000000006" customHeight="1">
      <c r="A17" s="105" t="s">
        <v>33</v>
      </c>
      <c r="B17" s="105"/>
      <c r="C17" s="105"/>
      <c r="D17" s="105"/>
      <c r="E17" s="105"/>
      <c r="F17" s="105"/>
      <c r="G17" s="105"/>
      <c r="H17" s="105"/>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row>
    <row r="18" spans="1:38" ht="147.6">
      <c r="A18" s="54" t="s">
        <v>2</v>
      </c>
      <c r="B18" s="55" t="s">
        <v>3</v>
      </c>
      <c r="C18" s="55" t="s">
        <v>3</v>
      </c>
      <c r="D18" s="55" t="s">
        <v>4</v>
      </c>
      <c r="E18" s="55" t="s">
        <v>34</v>
      </c>
      <c r="F18" s="55" t="s">
        <v>35</v>
      </c>
      <c r="G18" s="54" t="s">
        <v>36</v>
      </c>
      <c r="H18" s="54" t="s">
        <v>37</v>
      </c>
    </row>
    <row r="19" spans="1:38" ht="45.6" customHeight="1">
      <c r="A19" s="58"/>
      <c r="B19" s="60" t="s">
        <v>13</v>
      </c>
      <c r="C19" s="57" t="s">
        <v>13</v>
      </c>
      <c r="D19" s="60">
        <v>1</v>
      </c>
      <c r="E19" s="60" t="s">
        <v>16</v>
      </c>
      <c r="F19" s="61" t="s">
        <v>16</v>
      </c>
      <c r="G19" s="61" t="s">
        <v>12</v>
      </c>
      <c r="H19" s="61" t="s">
        <v>38</v>
      </c>
    </row>
    <row r="20" spans="1:38" ht="42" customHeight="1">
      <c r="A20" s="58"/>
      <c r="B20" s="60" t="s">
        <v>17</v>
      </c>
      <c r="C20" s="60" t="s">
        <v>39</v>
      </c>
      <c r="D20" s="60">
        <v>1</v>
      </c>
      <c r="E20" s="60" t="s">
        <v>12</v>
      </c>
      <c r="F20" s="61" t="s">
        <v>12</v>
      </c>
      <c r="G20" s="61" t="s">
        <v>12</v>
      </c>
      <c r="H20" s="61" t="s">
        <v>40</v>
      </c>
    </row>
    <row r="21" spans="1:38" ht="36" customHeight="1">
      <c r="A21" s="58"/>
      <c r="B21" s="60" t="s">
        <v>19</v>
      </c>
      <c r="C21" s="60" t="s">
        <v>26</v>
      </c>
      <c r="D21" s="60">
        <v>1</v>
      </c>
      <c r="E21" s="60" t="s">
        <v>12</v>
      </c>
      <c r="F21" s="61" t="s">
        <v>12</v>
      </c>
      <c r="G21" s="61" t="s">
        <v>12</v>
      </c>
      <c r="H21" s="61" t="s">
        <v>38</v>
      </c>
    </row>
    <row r="22" spans="1:38" ht="49.2" customHeight="1">
      <c r="A22" s="62"/>
      <c r="B22" s="60"/>
      <c r="C22" s="60" t="s">
        <v>29</v>
      </c>
      <c r="D22" s="60">
        <v>1</v>
      </c>
      <c r="E22" s="60" t="s">
        <v>12</v>
      </c>
      <c r="F22" s="61" t="s">
        <v>12</v>
      </c>
      <c r="G22" s="61" t="s">
        <v>12</v>
      </c>
      <c r="H22" s="61" t="s">
        <v>40</v>
      </c>
    </row>
    <row r="23" spans="1:38" ht="48" customHeight="1">
      <c r="A23" s="58"/>
      <c r="B23" s="60"/>
      <c r="C23" s="57" t="s">
        <v>30</v>
      </c>
      <c r="D23" s="60">
        <v>1</v>
      </c>
      <c r="E23" s="60" t="s">
        <v>12</v>
      </c>
      <c r="F23" s="61" t="s">
        <v>12</v>
      </c>
      <c r="G23" s="61" t="s">
        <v>16</v>
      </c>
      <c r="H23" s="61" t="s">
        <v>38</v>
      </c>
    </row>
    <row r="24" spans="1:38" ht="45" customHeight="1">
      <c r="A24" s="58"/>
      <c r="B24" s="60"/>
      <c r="C24" s="57" t="s">
        <v>32</v>
      </c>
      <c r="D24" s="60">
        <v>1</v>
      </c>
      <c r="E24" s="60" t="s">
        <v>12</v>
      </c>
      <c r="F24" s="61" t="s">
        <v>12</v>
      </c>
      <c r="G24" s="61" t="s">
        <v>12</v>
      </c>
      <c r="H24" s="56" t="s">
        <v>40</v>
      </c>
    </row>
    <row r="25" spans="1:38" ht="81" customHeight="1">
      <c r="A25" s="105" t="s">
        <v>41</v>
      </c>
      <c r="B25" s="105"/>
      <c r="C25" s="105"/>
      <c r="D25" s="105"/>
      <c r="E25" s="105"/>
      <c r="F25" s="105"/>
      <c r="G25" s="105"/>
      <c r="H25" s="105"/>
    </row>
    <row r="26" spans="1:38" ht="52.95" customHeight="1">
      <c r="A26" s="54" t="s">
        <v>2</v>
      </c>
      <c r="B26" s="55" t="s">
        <v>3</v>
      </c>
      <c r="C26" s="55" t="s">
        <v>3</v>
      </c>
      <c r="D26" s="55" t="s">
        <v>4</v>
      </c>
      <c r="E26" s="55" t="s">
        <v>34</v>
      </c>
      <c r="F26" s="55" t="s">
        <v>35</v>
      </c>
      <c r="G26" s="54" t="s">
        <v>36</v>
      </c>
      <c r="H26" s="54" t="s">
        <v>42</v>
      </c>
    </row>
    <row r="27" spans="1:38" ht="42" customHeight="1">
      <c r="A27" s="58"/>
      <c r="B27" s="60" t="s">
        <v>13</v>
      </c>
      <c r="C27" s="60" t="s">
        <v>26</v>
      </c>
      <c r="D27" s="60">
        <v>1</v>
      </c>
      <c r="E27" s="60" t="s">
        <v>16</v>
      </c>
      <c r="F27" s="61" t="s">
        <v>16</v>
      </c>
      <c r="G27" s="61" t="s">
        <v>12</v>
      </c>
      <c r="H27" s="61" t="s">
        <v>43</v>
      </c>
    </row>
    <row r="28" spans="1:38" ht="42" customHeight="1">
      <c r="A28" s="58"/>
      <c r="B28" s="58" t="s">
        <v>22</v>
      </c>
      <c r="C28" s="60" t="s">
        <v>44</v>
      </c>
      <c r="D28" s="60">
        <v>1</v>
      </c>
      <c r="E28" s="60" t="s">
        <v>12</v>
      </c>
      <c r="F28" s="61" t="s">
        <v>12</v>
      </c>
      <c r="G28" s="61" t="s">
        <v>45</v>
      </c>
      <c r="H28" s="61" t="s">
        <v>46</v>
      </c>
    </row>
    <row r="29" spans="1:38" ht="38.4" customHeight="1">
      <c r="A29" s="58"/>
      <c r="B29" s="60" t="s">
        <v>19</v>
      </c>
      <c r="C29" s="57" t="s">
        <v>32</v>
      </c>
      <c r="D29" s="60">
        <v>1</v>
      </c>
      <c r="E29" s="60" t="s">
        <v>12</v>
      </c>
      <c r="F29" s="61" t="s">
        <v>12</v>
      </c>
      <c r="G29" s="61" t="s">
        <v>12</v>
      </c>
      <c r="H29" s="61" t="s">
        <v>47</v>
      </c>
    </row>
    <row r="30" spans="1:38" ht="39.6" customHeight="1">
      <c r="A30" s="58"/>
      <c r="B30" s="60"/>
      <c r="C30" s="57" t="s">
        <v>30</v>
      </c>
      <c r="D30" s="60">
        <v>1</v>
      </c>
      <c r="E30" s="60" t="s">
        <v>12</v>
      </c>
      <c r="F30" s="61" t="s">
        <v>12</v>
      </c>
      <c r="G30" s="61" t="s">
        <v>12</v>
      </c>
      <c r="H30" s="61" t="s">
        <v>47</v>
      </c>
    </row>
    <row r="31" spans="1:38" ht="40.200000000000003" customHeight="1">
      <c r="A31" s="58"/>
      <c r="B31" s="63"/>
      <c r="C31" s="60" t="s">
        <v>39</v>
      </c>
      <c r="D31" s="63">
        <v>1</v>
      </c>
      <c r="E31" s="63" t="s">
        <v>12</v>
      </c>
      <c r="F31" s="63" t="s">
        <v>12</v>
      </c>
      <c r="G31" s="63" t="s">
        <v>12</v>
      </c>
      <c r="H31" s="61" t="s">
        <v>47</v>
      </c>
    </row>
    <row r="32" spans="1:38" ht="57.6" customHeight="1">
      <c r="A32" s="105" t="s">
        <v>48</v>
      </c>
      <c r="B32" s="105"/>
      <c r="C32" s="105"/>
      <c r="D32" s="105"/>
      <c r="E32" s="105"/>
      <c r="F32" s="105"/>
      <c r="G32" s="105"/>
      <c r="H32" s="105"/>
    </row>
    <row r="33" spans="1:8" ht="147.6">
      <c r="A33" s="54" t="s">
        <v>2</v>
      </c>
      <c r="B33" s="55" t="s">
        <v>3</v>
      </c>
      <c r="C33" s="55" t="s">
        <v>3</v>
      </c>
      <c r="D33" s="55" t="s">
        <v>4</v>
      </c>
      <c r="E33" s="55" t="s">
        <v>34</v>
      </c>
      <c r="F33" s="55" t="s">
        <v>49</v>
      </c>
      <c r="G33" s="54" t="s">
        <v>50</v>
      </c>
      <c r="H33" s="54" t="s">
        <v>51</v>
      </c>
    </row>
    <row r="34" spans="1:8" ht="43.2" customHeight="1">
      <c r="A34" s="58"/>
      <c r="B34" s="57" t="s">
        <v>23</v>
      </c>
      <c r="C34" s="57" t="s">
        <v>24</v>
      </c>
      <c r="D34" s="60">
        <v>1</v>
      </c>
      <c r="E34" s="60" t="s">
        <v>45</v>
      </c>
      <c r="F34" s="61" t="s">
        <v>16</v>
      </c>
      <c r="G34" s="61" t="s">
        <v>12</v>
      </c>
      <c r="H34" s="61" t="s">
        <v>43</v>
      </c>
    </row>
    <row r="35" spans="1:8" ht="49.2" customHeight="1">
      <c r="A35" s="58"/>
      <c r="B35" s="57" t="s">
        <v>19</v>
      </c>
      <c r="C35" s="57" t="s">
        <v>19</v>
      </c>
      <c r="D35" s="60">
        <v>1</v>
      </c>
      <c r="E35" s="60" t="s">
        <v>12</v>
      </c>
      <c r="F35" s="61" t="s">
        <v>12</v>
      </c>
      <c r="G35" s="61" t="s">
        <v>16</v>
      </c>
      <c r="H35" s="61" t="s">
        <v>52</v>
      </c>
    </row>
    <row r="36" spans="1:8" ht="45.6" customHeight="1">
      <c r="A36" s="58"/>
      <c r="B36" s="60" t="s">
        <v>25</v>
      </c>
      <c r="C36" s="57" t="s">
        <v>17</v>
      </c>
      <c r="D36" s="60">
        <v>1</v>
      </c>
      <c r="E36" s="60" t="s">
        <v>12</v>
      </c>
      <c r="F36" s="61" t="s">
        <v>12</v>
      </c>
      <c r="G36" s="61" t="s">
        <v>12</v>
      </c>
      <c r="H36" s="61" t="s">
        <v>47</v>
      </c>
    </row>
    <row r="37" spans="1:8" ht="66.599999999999994" customHeight="1">
      <c r="A37" s="105" t="s">
        <v>53</v>
      </c>
      <c r="B37" s="105"/>
      <c r="C37" s="105"/>
      <c r="D37" s="105"/>
      <c r="E37" s="105"/>
      <c r="F37" s="105"/>
      <c r="G37" s="105"/>
      <c r="H37" s="105"/>
    </row>
    <row r="38" spans="1:8" ht="147.6">
      <c r="A38" s="54" t="s">
        <v>2</v>
      </c>
      <c r="B38" s="55" t="s">
        <v>3</v>
      </c>
      <c r="C38" s="55" t="s">
        <v>3</v>
      </c>
      <c r="D38" s="55" t="s">
        <v>4</v>
      </c>
      <c r="E38" s="101" t="s">
        <v>54</v>
      </c>
      <c r="F38" s="102"/>
      <c r="G38" s="54" t="s">
        <v>55</v>
      </c>
      <c r="H38" s="54" t="s">
        <v>56</v>
      </c>
    </row>
    <row r="39" spans="1:8" ht="43.2" customHeight="1">
      <c r="A39" s="58"/>
      <c r="B39" s="59"/>
      <c r="C39" s="57" t="s">
        <v>32</v>
      </c>
      <c r="D39" s="60">
        <v>1</v>
      </c>
      <c r="E39" s="103" t="s">
        <v>16</v>
      </c>
      <c r="F39" s="104"/>
      <c r="G39" s="61" t="s">
        <v>12</v>
      </c>
      <c r="H39" s="61" t="s">
        <v>57</v>
      </c>
    </row>
    <row r="40" spans="1:8" ht="39.6" customHeight="1">
      <c r="A40" s="58"/>
      <c r="B40" s="60"/>
      <c r="C40" s="57" t="s">
        <v>30</v>
      </c>
      <c r="D40" s="60">
        <v>1</v>
      </c>
      <c r="E40" s="103" t="s">
        <v>12</v>
      </c>
      <c r="F40" s="104"/>
      <c r="G40" s="61" t="s">
        <v>16</v>
      </c>
      <c r="H40" s="61" t="s">
        <v>47</v>
      </c>
    </row>
    <row r="41" spans="1:8" ht="45.6" customHeight="1">
      <c r="A41" s="58"/>
      <c r="B41" s="60" t="s">
        <v>13</v>
      </c>
      <c r="C41" s="57" t="s">
        <v>13</v>
      </c>
      <c r="D41" s="60">
        <v>1</v>
      </c>
      <c r="E41" s="103" t="s">
        <v>12</v>
      </c>
      <c r="F41" s="104"/>
      <c r="G41" s="61" t="s">
        <v>12</v>
      </c>
      <c r="H41" s="61" t="s">
        <v>47</v>
      </c>
    </row>
    <row r="42" spans="1:8" ht="73.95" customHeight="1">
      <c r="A42" s="105" t="s">
        <v>58</v>
      </c>
      <c r="B42" s="105"/>
      <c r="C42" s="105"/>
      <c r="D42" s="105"/>
      <c r="E42" s="105"/>
      <c r="F42" s="105"/>
      <c r="G42" s="105"/>
      <c r="H42" s="105"/>
    </row>
    <row r="43" spans="1:8" ht="42.6" customHeight="1">
      <c r="A43" s="54" t="s">
        <v>2</v>
      </c>
      <c r="B43" s="55" t="s">
        <v>3</v>
      </c>
      <c r="C43" s="55" t="s">
        <v>3</v>
      </c>
      <c r="D43" s="55" t="s">
        <v>4</v>
      </c>
      <c r="E43" s="101" t="s">
        <v>59</v>
      </c>
      <c r="F43" s="102"/>
      <c r="G43" s="54" t="s">
        <v>60</v>
      </c>
      <c r="H43" s="54" t="s">
        <v>61</v>
      </c>
    </row>
    <row r="44" spans="1:8" ht="42" customHeight="1">
      <c r="A44" s="58"/>
      <c r="B44" s="64" t="s">
        <v>23</v>
      </c>
      <c r="C44" s="60" t="s">
        <v>32</v>
      </c>
      <c r="D44" s="60">
        <v>1</v>
      </c>
      <c r="E44" s="103" t="s">
        <v>16</v>
      </c>
      <c r="F44" s="104"/>
      <c r="G44" s="61" t="s">
        <v>12</v>
      </c>
      <c r="H44" s="61" t="s">
        <v>62</v>
      </c>
    </row>
    <row r="45" spans="1:8" ht="52.95" customHeight="1">
      <c r="A45" s="58"/>
      <c r="B45" s="64"/>
      <c r="C45" s="60" t="s">
        <v>26</v>
      </c>
      <c r="D45" s="60">
        <v>1</v>
      </c>
      <c r="E45" s="103" t="s">
        <v>12</v>
      </c>
      <c r="F45" s="104"/>
      <c r="G45" s="61" t="s">
        <v>16</v>
      </c>
      <c r="H45" s="61" t="s">
        <v>63</v>
      </c>
    </row>
    <row r="46" spans="1:8" ht="34.200000000000003" customHeight="1">
      <c r="A46" s="58"/>
      <c r="B46" s="57" t="s">
        <v>23</v>
      </c>
      <c r="C46" s="57" t="s">
        <v>24</v>
      </c>
      <c r="D46" s="60">
        <v>1</v>
      </c>
      <c r="E46" s="103" t="s">
        <v>12</v>
      </c>
      <c r="F46" s="104"/>
      <c r="G46" s="61" t="s">
        <v>12</v>
      </c>
      <c r="H46" s="61" t="s">
        <v>64</v>
      </c>
    </row>
    <row r="47" spans="1:8" ht="40.950000000000003" customHeight="1">
      <c r="A47" s="58"/>
      <c r="B47" s="64" t="s">
        <v>25</v>
      </c>
      <c r="C47" s="60" t="s">
        <v>30</v>
      </c>
      <c r="D47" s="60">
        <v>1</v>
      </c>
      <c r="E47" s="103" t="s">
        <v>12</v>
      </c>
      <c r="F47" s="104"/>
      <c r="G47" s="61" t="s">
        <v>12</v>
      </c>
      <c r="H47" s="61" t="s">
        <v>64</v>
      </c>
    </row>
    <row r="48" spans="1:8" ht="42.6" customHeight="1"/>
    <row r="49" customFormat="1" ht="13.2"/>
    <row r="50" customFormat="1" ht="46.95" customHeight="1"/>
    <row r="51" customFormat="1" ht="43.95" customHeight="1"/>
    <row r="52" customFormat="1" ht="52.95" customHeight="1"/>
    <row r="53" customFormat="1" ht="13.2"/>
    <row r="54" customFormat="1" ht="13.2"/>
    <row r="55" customFormat="1" ht="13.2"/>
    <row r="56" customFormat="1" ht="51" customHeight="1"/>
    <row r="57" customFormat="1" ht="37.950000000000003" customHeight="1"/>
    <row r="58" customFormat="1" ht="13.2"/>
    <row r="59" customFormat="1" ht="13.2"/>
    <row r="60" customFormat="1" ht="13.2"/>
    <row r="61" customFormat="1" ht="13.2"/>
    <row r="62" customFormat="1" ht="13.2"/>
    <row r="63" customFormat="1" ht="13.2"/>
    <row r="64" customFormat="1" ht="13.2"/>
    <row r="65" customFormat="1" ht="13.2"/>
    <row r="66" customFormat="1" ht="13.2"/>
    <row r="67" customFormat="1" ht="13.2"/>
    <row r="68" customFormat="1" ht="13.2"/>
    <row r="69" customFormat="1" ht="13.2"/>
    <row r="70" customFormat="1" ht="13.2"/>
    <row r="71" customFormat="1" ht="13.2"/>
    <row r="72" customFormat="1" ht="13.2"/>
    <row r="73" customFormat="1" ht="13.2"/>
    <row r="74" customFormat="1" ht="13.2"/>
    <row r="75" customFormat="1" ht="13.2"/>
    <row r="76" customFormat="1" ht="13.2"/>
    <row r="77" customFormat="1" ht="13.2"/>
    <row r="78" customFormat="1" ht="13.2"/>
    <row r="79" customFormat="1" ht="13.2"/>
    <row r="80" customFormat="1" ht="13.2"/>
    <row r="81" customFormat="1" ht="13.2"/>
    <row r="82" customFormat="1" ht="13.2"/>
    <row r="83" customFormat="1" ht="13.2"/>
    <row r="84" customFormat="1" ht="13.2"/>
    <row r="85" customFormat="1" ht="13.2"/>
    <row r="86" customFormat="1" ht="13.2"/>
    <row r="87" customFormat="1" ht="13.2"/>
    <row r="88" customFormat="1" ht="13.2"/>
    <row r="89" customFormat="1" ht="13.2"/>
    <row r="90" customFormat="1" ht="13.2"/>
    <row r="91" customFormat="1" ht="13.2"/>
    <row r="92" customFormat="1" ht="13.2"/>
    <row r="93" customFormat="1" ht="13.2"/>
    <row r="94" customFormat="1" ht="13.2"/>
    <row r="95" customFormat="1" ht="13.2"/>
    <row r="96" customFormat="1" ht="13.2"/>
    <row r="97" customFormat="1" ht="13.2"/>
    <row r="98" customFormat="1" ht="13.2"/>
    <row r="99" customFormat="1" ht="13.2"/>
    <row r="100" customFormat="1" ht="13.2"/>
    <row r="101" customFormat="1" ht="13.2"/>
    <row r="102" customFormat="1" ht="13.2"/>
    <row r="103" customFormat="1" ht="13.2"/>
    <row r="104" customFormat="1" ht="13.2"/>
    <row r="105" customFormat="1" ht="13.2"/>
    <row r="106" customFormat="1" ht="13.2"/>
    <row r="107" customFormat="1" ht="13.2"/>
    <row r="108" customFormat="1" ht="13.2"/>
    <row r="109" customFormat="1" ht="13.2"/>
    <row r="110" customFormat="1" ht="13.2"/>
    <row r="111" customFormat="1" ht="13.2"/>
    <row r="112" customFormat="1" ht="13.2"/>
    <row r="113" customFormat="1" ht="13.2"/>
    <row r="114" customFormat="1" ht="13.2"/>
    <row r="115" customFormat="1" ht="13.2"/>
    <row r="116" customFormat="1" ht="13.2"/>
    <row r="117" customFormat="1" ht="13.2"/>
    <row r="118" customFormat="1" ht="13.2"/>
    <row r="119" customFormat="1" ht="13.2"/>
    <row r="120" customFormat="1" ht="13.2"/>
    <row r="121" customFormat="1" ht="13.2"/>
    <row r="122" customFormat="1" ht="13.2"/>
    <row r="123" customFormat="1" ht="13.2"/>
    <row r="124" customFormat="1" ht="13.2"/>
    <row r="125" customFormat="1" ht="13.2"/>
    <row r="126" customFormat="1" ht="13.2"/>
    <row r="127" customFormat="1" ht="13.2"/>
    <row r="128" customFormat="1" ht="13.2"/>
    <row r="129" customFormat="1" ht="13.2"/>
    <row r="130" customFormat="1" ht="13.2"/>
    <row r="131" customFormat="1" ht="13.2"/>
    <row r="132" customFormat="1" ht="13.2"/>
    <row r="133" customFormat="1" ht="13.2"/>
    <row r="134" customFormat="1" ht="13.2"/>
    <row r="135" customFormat="1" ht="13.2"/>
    <row r="136" customFormat="1" ht="13.2"/>
    <row r="137" customFormat="1" ht="13.2"/>
    <row r="138" customFormat="1" ht="13.2"/>
    <row r="139" customFormat="1" ht="13.2"/>
    <row r="140" customFormat="1" ht="13.2"/>
    <row r="141" customFormat="1" ht="13.2"/>
    <row r="142" customFormat="1" ht="13.2"/>
    <row r="143" customFormat="1" ht="13.2"/>
    <row r="144" customFormat="1" ht="13.2"/>
    <row r="145" customFormat="1" ht="13.2"/>
    <row r="146" customFormat="1" ht="13.2"/>
    <row r="147" customFormat="1" ht="13.2"/>
    <row r="148" customFormat="1" ht="13.2"/>
    <row r="149" customFormat="1" ht="13.2"/>
    <row r="150" customFormat="1" ht="13.2"/>
    <row r="151" customFormat="1" ht="13.2"/>
    <row r="152" customFormat="1" ht="13.2"/>
    <row r="153" customFormat="1" ht="13.2"/>
    <row r="154" customFormat="1" ht="13.2"/>
    <row r="155" customFormat="1" ht="13.2"/>
    <row r="156" customFormat="1" ht="13.2"/>
    <row r="157" customFormat="1" ht="13.2"/>
    <row r="158" customFormat="1" ht="13.2"/>
    <row r="159" customFormat="1" ht="13.2"/>
    <row r="160" customFormat="1" ht="13.2"/>
    <row r="161" customFormat="1" ht="13.2"/>
    <row r="162" customFormat="1" ht="13.2"/>
    <row r="163" customFormat="1" ht="13.2"/>
    <row r="164" customFormat="1" ht="13.2"/>
    <row r="165" customFormat="1" ht="13.2"/>
    <row r="166" customFormat="1" ht="13.2"/>
    <row r="167" customFormat="1" ht="13.2"/>
    <row r="168" customFormat="1" ht="13.2"/>
    <row r="169" customFormat="1" ht="13.2"/>
    <row r="170" customFormat="1" ht="13.2"/>
    <row r="171" customFormat="1" ht="13.2"/>
    <row r="172" customFormat="1" ht="13.2"/>
    <row r="173" customFormat="1" ht="13.2"/>
    <row r="174" customFormat="1" ht="13.2"/>
    <row r="175" customFormat="1" ht="13.2"/>
    <row r="176" customFormat="1" ht="13.2"/>
    <row r="177" customFormat="1" ht="13.2"/>
    <row r="178" customFormat="1" ht="13.2"/>
    <row r="179" customFormat="1" ht="13.2"/>
    <row r="180" customFormat="1" ht="13.2"/>
    <row r="181" customFormat="1" ht="13.2"/>
    <row r="182" customFormat="1" ht="13.2"/>
    <row r="183" customFormat="1" ht="13.2"/>
    <row r="184" customFormat="1" ht="13.2"/>
    <row r="185" customFormat="1" ht="13.2"/>
    <row r="186" customFormat="1" ht="13.2"/>
    <row r="187" customFormat="1" ht="13.2"/>
    <row r="188" customFormat="1" ht="13.2"/>
    <row r="189" customFormat="1" ht="13.2"/>
    <row r="190" customFormat="1" ht="13.2"/>
    <row r="191" customFormat="1" ht="13.2"/>
    <row r="192" customFormat="1" ht="13.2"/>
    <row r="193" customFormat="1" ht="13.2"/>
    <row r="194" customFormat="1" ht="13.2"/>
    <row r="195" customFormat="1" ht="13.2"/>
    <row r="196" customFormat="1" ht="13.2"/>
    <row r="197" customFormat="1" ht="13.2"/>
    <row r="198" customFormat="1" ht="13.2"/>
    <row r="199" customFormat="1" ht="13.2"/>
    <row r="200" customFormat="1" ht="13.2"/>
    <row r="201" customFormat="1" ht="13.2"/>
    <row r="202" customFormat="1" ht="13.2"/>
    <row r="203" customFormat="1" ht="13.2"/>
    <row r="204" customFormat="1" ht="13.2"/>
    <row r="205" customFormat="1" ht="13.2"/>
    <row r="206" customFormat="1" ht="13.2"/>
    <row r="207" customFormat="1" ht="13.2"/>
    <row r="208" customFormat="1" ht="13.2"/>
    <row r="209" customFormat="1" ht="13.2"/>
    <row r="210" customFormat="1" ht="13.2"/>
    <row r="211" customFormat="1" ht="13.2"/>
    <row r="212" customFormat="1" ht="13.2"/>
    <row r="213" customFormat="1" ht="13.2"/>
    <row r="214" customFormat="1" ht="13.2"/>
    <row r="215" customFormat="1" ht="13.2"/>
    <row r="216" customFormat="1" ht="13.2"/>
    <row r="217" customFormat="1" ht="13.2"/>
    <row r="218" customFormat="1" ht="13.2"/>
    <row r="219" customFormat="1" ht="13.2"/>
    <row r="220" customFormat="1" ht="13.2"/>
    <row r="221" customFormat="1" ht="13.2"/>
    <row r="222" customFormat="1" ht="13.2"/>
    <row r="223" customFormat="1" ht="13.2"/>
    <row r="224" customFormat="1" ht="13.2"/>
    <row r="225" customFormat="1" ht="13.2"/>
    <row r="226" customFormat="1" ht="13.2"/>
    <row r="227" customFormat="1" ht="13.2"/>
    <row r="228" customFormat="1" ht="13.2"/>
    <row r="229" customFormat="1" ht="13.2"/>
    <row r="230" customFormat="1" ht="13.2"/>
    <row r="231" customFormat="1" ht="13.2"/>
    <row r="232" customFormat="1" ht="13.2"/>
    <row r="233" customFormat="1" ht="13.2"/>
    <row r="234" customFormat="1" ht="13.2"/>
    <row r="235" customFormat="1" ht="13.2"/>
    <row r="236" customFormat="1" ht="13.2"/>
    <row r="237" customFormat="1" ht="13.2"/>
    <row r="238" customFormat="1" ht="13.2"/>
    <row r="239" customFormat="1" ht="13.2"/>
    <row r="240" customFormat="1" ht="13.2"/>
    <row r="241" customFormat="1" ht="13.2"/>
    <row r="242" customFormat="1" ht="13.2"/>
    <row r="243" customFormat="1" ht="13.2"/>
    <row r="244" customFormat="1" ht="13.2"/>
    <row r="245" customFormat="1" ht="13.2"/>
    <row r="246" customFormat="1" ht="13.2"/>
    <row r="247" customFormat="1" ht="13.2"/>
    <row r="248" customFormat="1" ht="13.2"/>
    <row r="249" customFormat="1" ht="13.2"/>
    <row r="250" customFormat="1" ht="13.2"/>
    <row r="251" customFormat="1" ht="13.2"/>
    <row r="252" customFormat="1" ht="13.2"/>
    <row r="253" customFormat="1" ht="13.2"/>
    <row r="254" customFormat="1" ht="13.2"/>
    <row r="255" customFormat="1" ht="13.2"/>
    <row r="256" customFormat="1" ht="13.2"/>
    <row r="257" customFormat="1" ht="13.2"/>
    <row r="258" customFormat="1" ht="13.2"/>
    <row r="259" customFormat="1" ht="13.2"/>
    <row r="260" customFormat="1" ht="13.2"/>
    <row r="261" customFormat="1" ht="13.2"/>
    <row r="262" customFormat="1" ht="13.2"/>
    <row r="263" customFormat="1" ht="13.2"/>
    <row r="264" customFormat="1" ht="13.2"/>
    <row r="265" customFormat="1" ht="13.2"/>
    <row r="266" customFormat="1" ht="13.2"/>
    <row r="267" customFormat="1" ht="13.2"/>
    <row r="268" customFormat="1" ht="13.2"/>
    <row r="269" customFormat="1" ht="13.2"/>
    <row r="270" customFormat="1" ht="13.2"/>
    <row r="271" customFormat="1" ht="13.2"/>
    <row r="272" customFormat="1" ht="13.2"/>
    <row r="273" customFormat="1" ht="13.2"/>
    <row r="274" customFormat="1" ht="13.2"/>
    <row r="275" customFormat="1" ht="13.2"/>
    <row r="276" customFormat="1" ht="13.2"/>
    <row r="277" customFormat="1" ht="13.2"/>
    <row r="278" customFormat="1" ht="13.2"/>
    <row r="279" customFormat="1" ht="13.2"/>
    <row r="280" customFormat="1" ht="13.2"/>
    <row r="281" customFormat="1" ht="13.2"/>
    <row r="282" customFormat="1" ht="13.2"/>
    <row r="283" customFormat="1" ht="13.2"/>
    <row r="284" customFormat="1" ht="13.2"/>
    <row r="285" customFormat="1" ht="13.2"/>
    <row r="286" customFormat="1" ht="13.2"/>
    <row r="287" customFormat="1" ht="13.2"/>
    <row r="288" customFormat="1" ht="13.2"/>
    <row r="289" customFormat="1" ht="13.2"/>
    <row r="290" customFormat="1" ht="13.2"/>
    <row r="291" customFormat="1" ht="13.2"/>
    <row r="292" customFormat="1" ht="13.2"/>
    <row r="293" customFormat="1" ht="13.2"/>
    <row r="294" customFormat="1" ht="13.2"/>
    <row r="295" customFormat="1" ht="13.2"/>
    <row r="296" customFormat="1" ht="13.2"/>
    <row r="297" customFormat="1" ht="13.2"/>
    <row r="298" customFormat="1" ht="13.2"/>
    <row r="299" customFormat="1" ht="13.2"/>
    <row r="300" customFormat="1" ht="13.2"/>
    <row r="301" customFormat="1" ht="13.2"/>
    <row r="302" customFormat="1" ht="13.2"/>
    <row r="303" customFormat="1" ht="13.2"/>
    <row r="304" customFormat="1" ht="13.2"/>
    <row r="305" customFormat="1" ht="13.2"/>
    <row r="306" customFormat="1" ht="13.2"/>
    <row r="307" customFormat="1" ht="13.2"/>
    <row r="308" customFormat="1" ht="13.2"/>
    <row r="309" customFormat="1" ht="13.2"/>
    <row r="310" customFormat="1" ht="13.2"/>
    <row r="311" customFormat="1" ht="13.2"/>
    <row r="312" customFormat="1" ht="13.2"/>
    <row r="313" customFormat="1" ht="13.2"/>
    <row r="314" customFormat="1" ht="13.2"/>
    <row r="315" customFormat="1" ht="13.2"/>
    <row r="316" customFormat="1" ht="13.2"/>
    <row r="317" customFormat="1" ht="13.2"/>
    <row r="318" customFormat="1" ht="13.2"/>
    <row r="319" customFormat="1" ht="13.2"/>
    <row r="320" customFormat="1" ht="13.2"/>
    <row r="321" customFormat="1" ht="13.2"/>
    <row r="322" customFormat="1" ht="13.2"/>
    <row r="323" customFormat="1" ht="13.2"/>
    <row r="324" customFormat="1" ht="13.2"/>
    <row r="325" customFormat="1" ht="13.2"/>
    <row r="326" customFormat="1" ht="13.2"/>
    <row r="327" customFormat="1" ht="13.2"/>
    <row r="328" customFormat="1" ht="13.2"/>
    <row r="329" customFormat="1" ht="13.2"/>
    <row r="330" customFormat="1" ht="13.2"/>
    <row r="331" customFormat="1" ht="13.2"/>
    <row r="332" customFormat="1" ht="13.2"/>
    <row r="333" customFormat="1" ht="13.2"/>
    <row r="334" customFormat="1" ht="13.2"/>
    <row r="335" customFormat="1" ht="13.2"/>
    <row r="336" customFormat="1" ht="13.2"/>
    <row r="337" customFormat="1" ht="13.2"/>
    <row r="338" customFormat="1" ht="13.2"/>
    <row r="339" customFormat="1" ht="13.2"/>
    <row r="340" customFormat="1" ht="13.2"/>
    <row r="341" customFormat="1" ht="13.2"/>
    <row r="342" customFormat="1" ht="13.2"/>
    <row r="343" customFormat="1" ht="13.2"/>
    <row r="344" customFormat="1" ht="13.2"/>
    <row r="345" customFormat="1" ht="13.2"/>
    <row r="346" customFormat="1" ht="13.2"/>
    <row r="347" customFormat="1" ht="13.2"/>
    <row r="348" customFormat="1" ht="13.2"/>
    <row r="349" customFormat="1" ht="13.2"/>
    <row r="350" customFormat="1" ht="13.2"/>
    <row r="351" customFormat="1" ht="13.2"/>
    <row r="352" customFormat="1" ht="13.2"/>
    <row r="353" customFormat="1" ht="13.2"/>
    <row r="354" customFormat="1" ht="13.2"/>
    <row r="355" customFormat="1" ht="13.2"/>
    <row r="356" customFormat="1" ht="13.2"/>
    <row r="357" customFormat="1" ht="13.2"/>
    <row r="358" customFormat="1" ht="13.2"/>
    <row r="359" customFormat="1" ht="13.2"/>
    <row r="360" customFormat="1" ht="13.2"/>
    <row r="361" customFormat="1" ht="13.2"/>
    <row r="362" customFormat="1" ht="13.2"/>
    <row r="363" customFormat="1" ht="13.2"/>
    <row r="364" customFormat="1" ht="13.2"/>
    <row r="365" customFormat="1" ht="13.2"/>
    <row r="366" customFormat="1" ht="13.2"/>
    <row r="367" customFormat="1" ht="13.2"/>
    <row r="368" customFormat="1" ht="13.2"/>
    <row r="369" customFormat="1" ht="13.2"/>
    <row r="370" customFormat="1" ht="13.2"/>
    <row r="371" customFormat="1" ht="13.2"/>
    <row r="372" customFormat="1" ht="13.2"/>
    <row r="373" customFormat="1" ht="13.2"/>
    <row r="374" customFormat="1" ht="13.2"/>
    <row r="375" customFormat="1" ht="13.2"/>
    <row r="376" customFormat="1" ht="13.2"/>
    <row r="377" customFormat="1" ht="13.2"/>
    <row r="378" customFormat="1" ht="13.2"/>
    <row r="379" customFormat="1" ht="13.2"/>
    <row r="380" customFormat="1" ht="13.2"/>
    <row r="381" customFormat="1" ht="13.2"/>
    <row r="382" customFormat="1" ht="13.2"/>
    <row r="383" customFormat="1" ht="13.2"/>
    <row r="384" customFormat="1" ht="13.2"/>
    <row r="385" customFormat="1" ht="13.2"/>
    <row r="386" customFormat="1" ht="13.2"/>
    <row r="387" customFormat="1" ht="13.2"/>
    <row r="388" customFormat="1" ht="13.2"/>
    <row r="389" customFormat="1" ht="13.2"/>
    <row r="390" customFormat="1" ht="13.2"/>
    <row r="391" customFormat="1" ht="13.2"/>
    <row r="392" customFormat="1" ht="13.2"/>
    <row r="393" customFormat="1" ht="13.2"/>
    <row r="394" customFormat="1" ht="13.2"/>
    <row r="395" customFormat="1" ht="13.2"/>
    <row r="396" customFormat="1" ht="13.2"/>
    <row r="397" customFormat="1" ht="13.2"/>
    <row r="398" customFormat="1" ht="13.2"/>
    <row r="399" customFormat="1" ht="13.2"/>
    <row r="400" customFormat="1" ht="13.2"/>
    <row r="401" customFormat="1" ht="13.2"/>
    <row r="402" customFormat="1" ht="13.2"/>
    <row r="403" customFormat="1" ht="13.2"/>
    <row r="404" customFormat="1" ht="13.2"/>
    <row r="405" customFormat="1" ht="13.2"/>
    <row r="406" customFormat="1" ht="13.2"/>
    <row r="407" customFormat="1" ht="13.2"/>
    <row r="408" customFormat="1" ht="13.2"/>
    <row r="409" customFormat="1" ht="13.2"/>
    <row r="410" customFormat="1" ht="13.2"/>
    <row r="411" customFormat="1" ht="13.2"/>
    <row r="412" customFormat="1" ht="13.2"/>
    <row r="413" customFormat="1" ht="13.2"/>
    <row r="414" customFormat="1" ht="13.2"/>
    <row r="415" customFormat="1" ht="13.2"/>
    <row r="416" customFormat="1" ht="13.2"/>
    <row r="417" customFormat="1" ht="13.2"/>
    <row r="418" customFormat="1" ht="13.2"/>
    <row r="419" customFormat="1" ht="13.2"/>
    <row r="420" customFormat="1" ht="13.2"/>
    <row r="421" customFormat="1" ht="13.2"/>
    <row r="422" customFormat="1" ht="13.2"/>
    <row r="423" customFormat="1" ht="13.2"/>
    <row r="424" customFormat="1" ht="13.2"/>
    <row r="425" customFormat="1" ht="13.2"/>
    <row r="426" customFormat="1" ht="13.2"/>
    <row r="427" customFormat="1" ht="13.2"/>
    <row r="428" customFormat="1" ht="13.2"/>
    <row r="429" customFormat="1" ht="13.2"/>
    <row r="430" customFormat="1" ht="13.2"/>
    <row r="431" customFormat="1" ht="13.2"/>
    <row r="432" customFormat="1" ht="13.2"/>
    <row r="433" customFormat="1" ht="13.2"/>
    <row r="434" customFormat="1" ht="13.2"/>
    <row r="435" customFormat="1" ht="13.2"/>
    <row r="436" customFormat="1" ht="13.2"/>
    <row r="437" customFormat="1" ht="13.2"/>
    <row r="438" customFormat="1" ht="13.2"/>
    <row r="439" customFormat="1" ht="13.2"/>
    <row r="440" customFormat="1" ht="13.2"/>
    <row r="441" customFormat="1" ht="13.2"/>
    <row r="442" customFormat="1" ht="13.2"/>
    <row r="443" customFormat="1" ht="13.2"/>
    <row r="444" customFormat="1" ht="13.2"/>
    <row r="445" customFormat="1" ht="13.2"/>
    <row r="446" customFormat="1" ht="13.2"/>
    <row r="447" customFormat="1" ht="13.2"/>
    <row r="448" customFormat="1" ht="13.2"/>
    <row r="449" customFormat="1" ht="13.2"/>
    <row r="450" customFormat="1" ht="13.2"/>
    <row r="451" customFormat="1" ht="13.2"/>
    <row r="452" customFormat="1" ht="13.2"/>
    <row r="453" customFormat="1" ht="13.2"/>
    <row r="454" customFormat="1" ht="13.2"/>
    <row r="455" customFormat="1" ht="13.2"/>
    <row r="456" customFormat="1" ht="13.2"/>
    <row r="457" customFormat="1" ht="13.2"/>
    <row r="458" customFormat="1" ht="13.2"/>
    <row r="459" customFormat="1" ht="13.2"/>
    <row r="460" customFormat="1" ht="13.2"/>
    <row r="461" customFormat="1" ht="13.2"/>
    <row r="462" customFormat="1" ht="13.2"/>
    <row r="463" customFormat="1" ht="13.2"/>
    <row r="464" customFormat="1" ht="13.2"/>
    <row r="465" customFormat="1" ht="13.2"/>
    <row r="466" customFormat="1" ht="13.2"/>
    <row r="467" customFormat="1" ht="13.2"/>
    <row r="468" customFormat="1" ht="13.2"/>
    <row r="469" customFormat="1" ht="13.2"/>
    <row r="470" customFormat="1" ht="13.2"/>
    <row r="471" customFormat="1" ht="13.2"/>
    <row r="472" customFormat="1" ht="13.2"/>
    <row r="473" customFormat="1" ht="13.2"/>
    <row r="474" customFormat="1" ht="13.2"/>
    <row r="475" customFormat="1" ht="13.2"/>
    <row r="476" customFormat="1" ht="13.2"/>
    <row r="477" customFormat="1" ht="13.2"/>
    <row r="478" customFormat="1" ht="13.2"/>
    <row r="479" customFormat="1" ht="13.2"/>
    <row r="480" customFormat="1" ht="13.2"/>
    <row r="481" customFormat="1" ht="13.2"/>
    <row r="482" customFormat="1" ht="13.2"/>
    <row r="483" customFormat="1" ht="13.2"/>
    <row r="484" customFormat="1" ht="13.2"/>
    <row r="485" customFormat="1" ht="13.2"/>
    <row r="486" customFormat="1" ht="13.2"/>
    <row r="487" customFormat="1" ht="13.2"/>
    <row r="488" customFormat="1" ht="13.2"/>
    <row r="489" customFormat="1" ht="13.2"/>
    <row r="490" customFormat="1" ht="13.2"/>
    <row r="491" customFormat="1" ht="13.2"/>
    <row r="492" customFormat="1" ht="13.2"/>
    <row r="493" customFormat="1" ht="13.2"/>
    <row r="494" customFormat="1" ht="13.2"/>
    <row r="495" customFormat="1" ht="13.2"/>
    <row r="496" customFormat="1" ht="13.2"/>
    <row r="497" customFormat="1" ht="13.2"/>
    <row r="498" customFormat="1" ht="13.2"/>
    <row r="499" customFormat="1" ht="13.2"/>
    <row r="500" customFormat="1" ht="13.2"/>
    <row r="501" customFormat="1" ht="13.2"/>
    <row r="502" customFormat="1" ht="13.2"/>
    <row r="503" customFormat="1" ht="13.2"/>
    <row r="504" customFormat="1" ht="13.2"/>
    <row r="505" customFormat="1" ht="13.2"/>
    <row r="506" customFormat="1" ht="13.2"/>
    <row r="507" customFormat="1" ht="13.2"/>
    <row r="508" customFormat="1" ht="13.2"/>
    <row r="509" customFormat="1" ht="13.2"/>
    <row r="510" customFormat="1" ht="13.2"/>
    <row r="511" customFormat="1" ht="13.2"/>
    <row r="512" customFormat="1" ht="13.2"/>
    <row r="513" customFormat="1" ht="13.2"/>
    <row r="514" customFormat="1" ht="13.2"/>
    <row r="515" customFormat="1" ht="13.2"/>
    <row r="516" customFormat="1" ht="13.2"/>
    <row r="517" customFormat="1" ht="13.2"/>
    <row r="518" customFormat="1" ht="13.2"/>
    <row r="519" customFormat="1" ht="13.2"/>
    <row r="520" customFormat="1" ht="13.2"/>
    <row r="521" customFormat="1" ht="13.2"/>
    <row r="522" customFormat="1" ht="13.2"/>
    <row r="523" customFormat="1" ht="13.2"/>
    <row r="524" customFormat="1" ht="13.2"/>
    <row r="525" customFormat="1" ht="13.2"/>
    <row r="526" customFormat="1" ht="13.2"/>
    <row r="527" customFormat="1" ht="13.2"/>
    <row r="528" customFormat="1" ht="13.2"/>
    <row r="529" customFormat="1" ht="13.2"/>
    <row r="530" customFormat="1" ht="13.2"/>
    <row r="531" customFormat="1" ht="13.2"/>
    <row r="532" customFormat="1" ht="13.2"/>
    <row r="533" customFormat="1" ht="13.2"/>
    <row r="534" customFormat="1" ht="13.2"/>
    <row r="535" customFormat="1" ht="13.2"/>
    <row r="536" customFormat="1" ht="13.2"/>
    <row r="537" customFormat="1" ht="13.2"/>
    <row r="538" customFormat="1" ht="13.2"/>
    <row r="539" customFormat="1" ht="13.2"/>
    <row r="540" customFormat="1" ht="13.2"/>
    <row r="541" customFormat="1" ht="13.2"/>
    <row r="542" customFormat="1" ht="13.2"/>
    <row r="543" customFormat="1" ht="13.2"/>
    <row r="544" customFormat="1" ht="13.2"/>
    <row r="545" customFormat="1" ht="13.2"/>
    <row r="546" customFormat="1" ht="13.2"/>
    <row r="547" customFormat="1" ht="13.2"/>
    <row r="548" customFormat="1" ht="13.2"/>
    <row r="549" customFormat="1" ht="13.2"/>
    <row r="550" customFormat="1" ht="13.2"/>
    <row r="551" customFormat="1" ht="13.2"/>
    <row r="552" customFormat="1" ht="13.2"/>
    <row r="553" customFormat="1" ht="13.2"/>
    <row r="554" customFormat="1" ht="13.2"/>
    <row r="555" customFormat="1" ht="13.2"/>
    <row r="556" customFormat="1" ht="13.2"/>
    <row r="557" customFormat="1" ht="13.2"/>
    <row r="558" customFormat="1" ht="13.2"/>
    <row r="559" customFormat="1" ht="13.2"/>
    <row r="560" customFormat="1" ht="13.2"/>
    <row r="561" customFormat="1" ht="13.2"/>
    <row r="562" customFormat="1" ht="13.2"/>
    <row r="563" customFormat="1" ht="13.2"/>
    <row r="564" customFormat="1" ht="13.2"/>
    <row r="565" customFormat="1" ht="13.2"/>
    <row r="566" customFormat="1" ht="13.2"/>
    <row r="567" customFormat="1" ht="13.2"/>
    <row r="568" customFormat="1" ht="13.2"/>
    <row r="569" customFormat="1" ht="13.2"/>
    <row r="570" customFormat="1" ht="13.2"/>
    <row r="571" customFormat="1" ht="13.2"/>
    <row r="572" customFormat="1" ht="13.2"/>
    <row r="573" customFormat="1" ht="13.2"/>
    <row r="574" customFormat="1" ht="13.2"/>
    <row r="575" customFormat="1" ht="13.2"/>
    <row r="576" customFormat="1" ht="13.2"/>
    <row r="577" customFormat="1" ht="13.2"/>
    <row r="578" customFormat="1" ht="13.2"/>
    <row r="579" customFormat="1" ht="13.2"/>
    <row r="580" customFormat="1" ht="13.2"/>
    <row r="581" customFormat="1" ht="13.2"/>
    <row r="582" customFormat="1" ht="13.2"/>
    <row r="583" customFormat="1" ht="13.2"/>
    <row r="584" customFormat="1" ht="13.2"/>
    <row r="585" customFormat="1" ht="13.2"/>
    <row r="586" customFormat="1" ht="13.2"/>
    <row r="587" customFormat="1" ht="13.2"/>
    <row r="588" customFormat="1" ht="13.2"/>
    <row r="589" customFormat="1" ht="13.2"/>
    <row r="590" customFormat="1" ht="13.2"/>
    <row r="591" customFormat="1" ht="13.2"/>
    <row r="592" customFormat="1" ht="13.2"/>
    <row r="593" customFormat="1" ht="13.2"/>
    <row r="594" customFormat="1" ht="13.2"/>
    <row r="595" customFormat="1" ht="13.2"/>
    <row r="596" customFormat="1" ht="13.2"/>
    <row r="597" customFormat="1" ht="13.2"/>
    <row r="598" customFormat="1" ht="13.2"/>
    <row r="599" customFormat="1" ht="13.2"/>
    <row r="600" customFormat="1" ht="13.2"/>
    <row r="601" customFormat="1" ht="13.2"/>
    <row r="602" customFormat="1" ht="13.2"/>
    <row r="603" customFormat="1" ht="13.2"/>
    <row r="604" customFormat="1" ht="13.2"/>
    <row r="605" customFormat="1" ht="13.2"/>
    <row r="606" customFormat="1" ht="13.2"/>
    <row r="607" customFormat="1" ht="13.2"/>
    <row r="608" customFormat="1" ht="13.2"/>
    <row r="609" customFormat="1" ht="13.2"/>
    <row r="610" customFormat="1" ht="13.2"/>
    <row r="611" customFormat="1" ht="13.2"/>
    <row r="612" customFormat="1" ht="13.2"/>
    <row r="613" customFormat="1" ht="13.2"/>
    <row r="614" customFormat="1" ht="13.2"/>
    <row r="615" customFormat="1" ht="13.2"/>
    <row r="616" customFormat="1" ht="13.2"/>
    <row r="617" customFormat="1" ht="13.2"/>
    <row r="618" customFormat="1" ht="13.2"/>
    <row r="619" customFormat="1" ht="13.2"/>
    <row r="620" customFormat="1" ht="13.2"/>
    <row r="621" customFormat="1" ht="13.2"/>
    <row r="622" customFormat="1" ht="13.2"/>
    <row r="623" customFormat="1" ht="13.2"/>
    <row r="624" customFormat="1" ht="13.2"/>
    <row r="625" customFormat="1" ht="13.2"/>
    <row r="626" customFormat="1" ht="13.2"/>
    <row r="627" customFormat="1" ht="13.2"/>
    <row r="628" customFormat="1" ht="13.2"/>
    <row r="629" customFormat="1" ht="13.2"/>
    <row r="630" customFormat="1" ht="13.2"/>
    <row r="631" customFormat="1" ht="13.2"/>
    <row r="632" customFormat="1" ht="13.2"/>
    <row r="633" customFormat="1" ht="13.2"/>
    <row r="634" customFormat="1" ht="13.2"/>
    <row r="635" customFormat="1" ht="13.2"/>
    <row r="636" customFormat="1" ht="13.2"/>
    <row r="637" customFormat="1" ht="13.2"/>
    <row r="638" customFormat="1" ht="13.2"/>
    <row r="639" customFormat="1" ht="13.2"/>
    <row r="640" customFormat="1" ht="13.2"/>
    <row r="641" customFormat="1" ht="13.2"/>
    <row r="642" customFormat="1" ht="13.2"/>
    <row r="643" customFormat="1" ht="13.2"/>
    <row r="644" customFormat="1" ht="13.2"/>
    <row r="645" customFormat="1" ht="13.2"/>
    <row r="646" customFormat="1" ht="13.2"/>
    <row r="647" customFormat="1" ht="13.2"/>
    <row r="648" customFormat="1" ht="13.2"/>
    <row r="649" customFormat="1" ht="13.2"/>
    <row r="650" customFormat="1" ht="13.2"/>
    <row r="651" customFormat="1" ht="13.2"/>
    <row r="652" customFormat="1" ht="13.2"/>
    <row r="653" customFormat="1" ht="13.2"/>
    <row r="654" customFormat="1" ht="13.2"/>
    <row r="655" customFormat="1" ht="13.2"/>
    <row r="656" customFormat="1" ht="13.2"/>
    <row r="657" customFormat="1" ht="13.2"/>
    <row r="658" customFormat="1" ht="13.2"/>
    <row r="659" customFormat="1" ht="13.2"/>
    <row r="660" customFormat="1" ht="13.2"/>
    <row r="661" customFormat="1" ht="13.2"/>
    <row r="662" customFormat="1" ht="13.2"/>
    <row r="663" customFormat="1" ht="13.2"/>
    <row r="664" customFormat="1" ht="13.2"/>
    <row r="665" customFormat="1" ht="13.2"/>
    <row r="666" customFormat="1" ht="13.2"/>
    <row r="667" customFormat="1" ht="13.2"/>
    <row r="668" customFormat="1" ht="13.2"/>
    <row r="669" customFormat="1" ht="13.2"/>
    <row r="670" customFormat="1" ht="13.2"/>
    <row r="671" customFormat="1" ht="13.2"/>
    <row r="672" customFormat="1" ht="13.2"/>
    <row r="673" customFormat="1" ht="13.2"/>
    <row r="674" customFormat="1" ht="13.2"/>
    <row r="675" customFormat="1" ht="13.2"/>
    <row r="676" customFormat="1" ht="13.2"/>
    <row r="677" customFormat="1" ht="13.2"/>
    <row r="678" customFormat="1" ht="13.2"/>
    <row r="679" customFormat="1" ht="13.2"/>
    <row r="680" customFormat="1" ht="13.2"/>
    <row r="681" customFormat="1" ht="13.2"/>
    <row r="682" customFormat="1" ht="13.2"/>
    <row r="683" customFormat="1" ht="13.2"/>
    <row r="684" customFormat="1" ht="13.2"/>
    <row r="685" customFormat="1" ht="13.2"/>
    <row r="686" customFormat="1" ht="13.2"/>
    <row r="687" customFormat="1" ht="13.2"/>
    <row r="688" customFormat="1" ht="13.2"/>
    <row r="689" customFormat="1" ht="13.2"/>
    <row r="690" customFormat="1" ht="13.2"/>
    <row r="691" customFormat="1" ht="13.2"/>
    <row r="692" customFormat="1" ht="13.2"/>
    <row r="693" customFormat="1" ht="13.2"/>
    <row r="694" customFormat="1" ht="13.2"/>
    <row r="695" customFormat="1" ht="13.2"/>
    <row r="696" customFormat="1" ht="13.2"/>
    <row r="697" customFormat="1" ht="13.2"/>
    <row r="698" customFormat="1" ht="13.2"/>
    <row r="699" customFormat="1" ht="13.2"/>
    <row r="700" customFormat="1" ht="13.2"/>
    <row r="701" customFormat="1" ht="13.2"/>
    <row r="702" customFormat="1" ht="13.2"/>
    <row r="703" customFormat="1" ht="13.2"/>
    <row r="704" customFormat="1" ht="13.2"/>
    <row r="705" customFormat="1" ht="13.2"/>
    <row r="706" customFormat="1" ht="13.2"/>
    <row r="707" customFormat="1" ht="13.2"/>
    <row r="708" customFormat="1" ht="13.2"/>
    <row r="709" customFormat="1" ht="13.2"/>
    <row r="710" customFormat="1" ht="13.2"/>
    <row r="711" customFormat="1" ht="13.2"/>
    <row r="712" customFormat="1" ht="13.2"/>
    <row r="713" customFormat="1" ht="13.2"/>
    <row r="714" customFormat="1" ht="13.2"/>
    <row r="715" customFormat="1" ht="13.2"/>
    <row r="716" customFormat="1" ht="13.2"/>
    <row r="717" customFormat="1" ht="13.2"/>
    <row r="718" customFormat="1" ht="13.2"/>
    <row r="719" customFormat="1" ht="13.2"/>
    <row r="720" customFormat="1" ht="13.2"/>
    <row r="721" customFormat="1" ht="13.2"/>
    <row r="722" customFormat="1" ht="13.2"/>
    <row r="723" customFormat="1" ht="13.2"/>
    <row r="724" customFormat="1" ht="13.2"/>
    <row r="725" customFormat="1" ht="13.2"/>
    <row r="726" customFormat="1" ht="13.2"/>
    <row r="727" customFormat="1" ht="13.2"/>
    <row r="728" customFormat="1" ht="13.2"/>
    <row r="729" customFormat="1" ht="13.2"/>
    <row r="730" customFormat="1" ht="13.2"/>
    <row r="731" customFormat="1" ht="13.2"/>
    <row r="732" customFormat="1" ht="13.2"/>
    <row r="733" customFormat="1" ht="13.2"/>
    <row r="734" customFormat="1" ht="13.2"/>
    <row r="735" customFormat="1" ht="13.2"/>
    <row r="736" customFormat="1" ht="13.2"/>
    <row r="737" customFormat="1" ht="13.2"/>
    <row r="738" customFormat="1" ht="13.2"/>
    <row r="739" customFormat="1" ht="13.2"/>
    <row r="740" customFormat="1" ht="13.2"/>
    <row r="741" customFormat="1" ht="13.2"/>
    <row r="742" customFormat="1" ht="13.2"/>
    <row r="743" customFormat="1" ht="13.2"/>
    <row r="744" customFormat="1" ht="13.2"/>
    <row r="745" customFormat="1" ht="13.2"/>
    <row r="746" customFormat="1" ht="13.2"/>
    <row r="747" customFormat="1" ht="13.2"/>
    <row r="748" customFormat="1" ht="13.2"/>
    <row r="749" customFormat="1" ht="13.2"/>
    <row r="750" customFormat="1" ht="13.2"/>
    <row r="751" customFormat="1" ht="13.2"/>
    <row r="752" customFormat="1" ht="13.2"/>
    <row r="753" customFormat="1" ht="13.2"/>
    <row r="754" customFormat="1" ht="13.2"/>
    <row r="755" customFormat="1" ht="13.2"/>
    <row r="756" customFormat="1" ht="13.2"/>
    <row r="757" customFormat="1" ht="13.2"/>
    <row r="758" customFormat="1" ht="13.2"/>
    <row r="759" customFormat="1" ht="13.2"/>
    <row r="760" customFormat="1" ht="13.2"/>
    <row r="761" customFormat="1" ht="13.2"/>
    <row r="762" customFormat="1" ht="13.2"/>
    <row r="763" customFormat="1" ht="13.2"/>
    <row r="764" customFormat="1" ht="13.2"/>
    <row r="765" customFormat="1" ht="13.2"/>
    <row r="766" customFormat="1" ht="13.2"/>
    <row r="767" customFormat="1" ht="13.2"/>
    <row r="768" customFormat="1" ht="13.2"/>
    <row r="769" customFormat="1" ht="13.2"/>
    <row r="770" customFormat="1" ht="13.2"/>
    <row r="771" customFormat="1" ht="13.2"/>
    <row r="772" customFormat="1" ht="13.2"/>
    <row r="773" customFormat="1" ht="13.2"/>
    <row r="774" customFormat="1" ht="13.2"/>
    <row r="775" customFormat="1" ht="13.2"/>
    <row r="776" customFormat="1" ht="13.2"/>
    <row r="777" customFormat="1" ht="13.2"/>
    <row r="778" customFormat="1" ht="13.2"/>
    <row r="779" customFormat="1" ht="13.2"/>
    <row r="780" customFormat="1" ht="13.2"/>
    <row r="781" customFormat="1" ht="13.2"/>
    <row r="782" customFormat="1" ht="13.2"/>
    <row r="783" customFormat="1" ht="13.2"/>
    <row r="784" customFormat="1" ht="13.2"/>
    <row r="785" customFormat="1" ht="13.2"/>
    <row r="786" customFormat="1" ht="13.2"/>
    <row r="787" customFormat="1" ht="13.2"/>
    <row r="788" customFormat="1" ht="13.2"/>
    <row r="789" customFormat="1" ht="13.2"/>
    <row r="790" customFormat="1" ht="13.2"/>
    <row r="791" customFormat="1" ht="13.2"/>
    <row r="792" customFormat="1" ht="13.2"/>
    <row r="793" customFormat="1" ht="13.2"/>
    <row r="794" customFormat="1" ht="13.2"/>
    <row r="795" customFormat="1" ht="13.2"/>
    <row r="796" customFormat="1" ht="13.2"/>
    <row r="797" customFormat="1" ht="13.2"/>
    <row r="798" customFormat="1" ht="13.2"/>
    <row r="799" customFormat="1" ht="13.2"/>
    <row r="800" customFormat="1" ht="13.2"/>
    <row r="801" customFormat="1" ht="13.2"/>
    <row r="802" customFormat="1" ht="13.2"/>
    <row r="803" customFormat="1" ht="13.2"/>
    <row r="804" customFormat="1" ht="13.2"/>
    <row r="805" customFormat="1" ht="13.2"/>
    <row r="806" customFormat="1" ht="13.2"/>
    <row r="807" customFormat="1" ht="13.2"/>
    <row r="808" customFormat="1" ht="13.2"/>
    <row r="809" customFormat="1" ht="13.2"/>
    <row r="810" customFormat="1" ht="13.2"/>
    <row r="811" customFormat="1" ht="13.2"/>
    <row r="812" customFormat="1" ht="13.2"/>
    <row r="813" customFormat="1" ht="13.2"/>
    <row r="814" customFormat="1" ht="13.2"/>
    <row r="815" customFormat="1" ht="13.2"/>
    <row r="816" customFormat="1" ht="13.2"/>
    <row r="817" customFormat="1" ht="13.2"/>
    <row r="818" customFormat="1" ht="13.2"/>
    <row r="819" customFormat="1" ht="13.2"/>
    <row r="820" customFormat="1" ht="13.2"/>
    <row r="821" customFormat="1" ht="13.2"/>
    <row r="822" customFormat="1" ht="13.2"/>
    <row r="823" customFormat="1" ht="13.2"/>
    <row r="824" customFormat="1" ht="13.2"/>
    <row r="825" customFormat="1" ht="13.2"/>
    <row r="826" customFormat="1" ht="13.2"/>
    <row r="827" customFormat="1" ht="13.2"/>
    <row r="828" customFormat="1" ht="13.2"/>
    <row r="829" customFormat="1" ht="13.2"/>
    <row r="830" customFormat="1" ht="13.2"/>
    <row r="831" customFormat="1" ht="13.2"/>
    <row r="832" customFormat="1" ht="13.2"/>
    <row r="833" customFormat="1" ht="13.2"/>
    <row r="834" customFormat="1" ht="13.2"/>
    <row r="835" customFormat="1" ht="13.2"/>
    <row r="836" customFormat="1" ht="13.2"/>
    <row r="837" customFormat="1" ht="13.2"/>
    <row r="838" customFormat="1" ht="13.2"/>
    <row r="839" customFormat="1" ht="13.2"/>
    <row r="840" customFormat="1" ht="13.2"/>
    <row r="841" customFormat="1" ht="13.2"/>
    <row r="842" customFormat="1" ht="13.2"/>
    <row r="843" customFormat="1" ht="13.2"/>
    <row r="844" customFormat="1" ht="13.2"/>
    <row r="845" customFormat="1" ht="13.2"/>
    <row r="846" customFormat="1" ht="13.2"/>
    <row r="847" customFormat="1" ht="13.2"/>
    <row r="848" customFormat="1" ht="13.2"/>
    <row r="849" customFormat="1" ht="13.2"/>
    <row r="850" customFormat="1" ht="13.2"/>
    <row r="851" customFormat="1" ht="13.2"/>
    <row r="852" customFormat="1" ht="13.2"/>
    <row r="853" customFormat="1" ht="13.2"/>
    <row r="854" customFormat="1" ht="13.2"/>
    <row r="855" customFormat="1" ht="13.2"/>
    <row r="856" customFormat="1" ht="13.2"/>
    <row r="857" customFormat="1" ht="13.2"/>
    <row r="858" customFormat="1" ht="13.2"/>
    <row r="859" customFormat="1" ht="13.2"/>
    <row r="860" customFormat="1" ht="13.2"/>
    <row r="861" customFormat="1" ht="13.2"/>
    <row r="862" customFormat="1" ht="13.2"/>
    <row r="863" customFormat="1" ht="13.2"/>
    <row r="864" customFormat="1" ht="13.2"/>
    <row r="865" customFormat="1" ht="13.2"/>
    <row r="866" customFormat="1" ht="13.2"/>
    <row r="867" customFormat="1" ht="13.2"/>
    <row r="868" customFormat="1" ht="13.2"/>
    <row r="869" customFormat="1" ht="13.2"/>
    <row r="870" customFormat="1" ht="13.2"/>
    <row r="871" customFormat="1" ht="13.2"/>
    <row r="872" customFormat="1" ht="13.2"/>
    <row r="873" customFormat="1" ht="13.2"/>
    <row r="874" customFormat="1" ht="13.2"/>
    <row r="875" customFormat="1" ht="13.2"/>
    <row r="876" customFormat="1" ht="13.2"/>
    <row r="877" customFormat="1" ht="13.2"/>
    <row r="878" customFormat="1" ht="13.2"/>
    <row r="879" customFormat="1" ht="13.2"/>
    <row r="880" customFormat="1" ht="13.2"/>
    <row r="881" customFormat="1" ht="13.2"/>
    <row r="882" customFormat="1" ht="13.2"/>
    <row r="883" customFormat="1" ht="13.2"/>
    <row r="884" customFormat="1" ht="13.2"/>
    <row r="885" customFormat="1" ht="13.2"/>
    <row r="886" customFormat="1" ht="13.2"/>
    <row r="887" customFormat="1" ht="13.2"/>
    <row r="888" customFormat="1" ht="13.2"/>
    <row r="889" customFormat="1" ht="13.2"/>
    <row r="890" customFormat="1" ht="13.2"/>
    <row r="891" customFormat="1" ht="13.2"/>
    <row r="892" customFormat="1" ht="13.2"/>
    <row r="893" customFormat="1" ht="13.2"/>
    <row r="894" customFormat="1" ht="13.2"/>
    <row r="895" customFormat="1" ht="13.2"/>
    <row r="896" customFormat="1" ht="13.2"/>
    <row r="897" customFormat="1" ht="13.2"/>
    <row r="898" customFormat="1" ht="13.2"/>
    <row r="899" customFormat="1" ht="13.2"/>
    <row r="900" customFormat="1" ht="13.2"/>
    <row r="901" customFormat="1" ht="13.2"/>
    <row r="902" customFormat="1" ht="13.2"/>
    <row r="903" customFormat="1" ht="13.2"/>
    <row r="904" customFormat="1" ht="13.2"/>
    <row r="905" customFormat="1" ht="13.2"/>
    <row r="906" customFormat="1" ht="13.2"/>
    <row r="907" customFormat="1" ht="15.75" customHeight="1"/>
    <row r="908" customFormat="1" ht="15.75" customHeight="1"/>
  </sheetData>
  <mergeCells count="28">
    <mergeCell ref="E7:F7"/>
    <mergeCell ref="E8:F8"/>
    <mergeCell ref="E9:F9"/>
    <mergeCell ref="E10:F10"/>
    <mergeCell ref="A1:D4"/>
    <mergeCell ref="E1:H4"/>
    <mergeCell ref="A5:C6"/>
    <mergeCell ref="D5:H6"/>
    <mergeCell ref="E11:F11"/>
    <mergeCell ref="E12:F12"/>
    <mergeCell ref="E13:F13"/>
    <mergeCell ref="E14:F14"/>
    <mergeCell ref="E15:F15"/>
    <mergeCell ref="E16:F16"/>
    <mergeCell ref="A17:H17"/>
    <mergeCell ref="A25:H25"/>
    <mergeCell ref="A32:H32"/>
    <mergeCell ref="A37:H37"/>
    <mergeCell ref="E38:F38"/>
    <mergeCell ref="E39:F39"/>
    <mergeCell ref="E40:F40"/>
    <mergeCell ref="E41:F41"/>
    <mergeCell ref="A42:H42"/>
    <mergeCell ref="E43:F43"/>
    <mergeCell ref="E44:F44"/>
    <mergeCell ref="E45:F45"/>
    <mergeCell ref="E46:F46"/>
    <mergeCell ref="E47:F47"/>
  </mergeCells>
  <conditionalFormatting sqref="F1:F870">
    <cfRule type="containsText" dxfId="27" priority="5" operator="containsText" text="نجح">
      <formula>NOT(ISERROR(SEARCH(("نجح"),(F1))))</formula>
    </cfRule>
    <cfRule type="containsText" dxfId="26" priority="6" operator="containsText" text="فشل">
      <formula>NOT(ISERROR(SEARCH(("فشل"),(F1))))</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CD6D-E8C8-4AE8-A022-B4514C714317}">
  <sheetPr>
    <outlinePr summaryBelow="0" summaryRight="0"/>
  </sheetPr>
  <dimension ref="A1:AB896"/>
  <sheetViews>
    <sheetView rightToLeft="1" zoomScale="58" zoomScaleNormal="100" workbookViewId="0">
      <selection activeCell="D17" sqref="D1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14" width="9.109375"/>
    <col min="15" max="15" width="14" customWidth="1"/>
    <col min="16" max="16" width="19.88671875" customWidth="1"/>
  </cols>
  <sheetData>
    <row r="1" spans="1:28" ht="36.6" customHeight="1">
      <c r="A1" s="65"/>
      <c r="B1" s="65"/>
      <c r="C1" s="65"/>
      <c r="D1" s="65"/>
      <c r="E1" s="65"/>
      <c r="F1" s="78"/>
      <c r="G1" s="78"/>
      <c r="H1" s="51"/>
      <c r="I1" s="51"/>
      <c r="J1" s="51"/>
      <c r="K1" s="51"/>
      <c r="L1" s="51"/>
      <c r="M1" s="51"/>
      <c r="N1" s="51"/>
      <c r="O1" s="51"/>
      <c r="P1" s="51"/>
      <c r="Q1" s="51"/>
      <c r="R1" s="51"/>
      <c r="S1" s="51"/>
      <c r="T1" s="51"/>
      <c r="U1" s="51"/>
      <c r="V1" s="51"/>
      <c r="W1" s="51"/>
      <c r="X1" s="51"/>
      <c r="Y1" s="51"/>
      <c r="Z1" s="51"/>
      <c r="AA1" s="51"/>
      <c r="AB1" s="51"/>
    </row>
    <row r="2" spans="1:28" ht="40.200000000000003" customHeight="1">
      <c r="A2" s="65"/>
      <c r="B2" s="65"/>
      <c r="C2" s="65"/>
      <c r="D2" s="65"/>
      <c r="E2" s="65"/>
      <c r="F2" s="78"/>
      <c r="G2" s="78"/>
      <c r="H2" s="51"/>
      <c r="I2" s="51"/>
      <c r="J2" s="51"/>
      <c r="K2" s="51"/>
      <c r="L2" s="51"/>
      <c r="M2" s="51"/>
      <c r="N2" s="51"/>
      <c r="O2" s="51"/>
      <c r="P2" s="51"/>
      <c r="Q2" s="51"/>
      <c r="R2" s="51"/>
      <c r="S2" s="51"/>
      <c r="T2" s="51"/>
      <c r="U2" s="51"/>
      <c r="V2" s="51"/>
      <c r="W2" s="51"/>
      <c r="X2" s="51"/>
      <c r="Y2" s="51"/>
      <c r="Z2" s="51"/>
      <c r="AA2" s="51"/>
      <c r="AB2" s="51"/>
    </row>
    <row r="3" spans="1:28" ht="30.75" customHeight="1">
      <c r="A3" s="65"/>
      <c r="B3" s="65"/>
      <c r="C3" s="65"/>
      <c r="D3" s="65"/>
      <c r="E3" s="65"/>
      <c r="F3" s="78"/>
      <c r="G3" s="78"/>
      <c r="H3" s="51"/>
      <c r="I3" s="51"/>
      <c r="J3" s="51"/>
      <c r="K3" s="51"/>
      <c r="L3" s="51"/>
      <c r="M3" s="51"/>
      <c r="N3" s="51"/>
      <c r="O3" s="51"/>
      <c r="P3" s="51"/>
      <c r="Q3" s="51"/>
      <c r="R3" s="51"/>
      <c r="S3" s="51"/>
      <c r="T3" s="51"/>
      <c r="U3" s="51"/>
      <c r="V3" s="51"/>
      <c r="W3" s="51"/>
      <c r="X3" s="51"/>
      <c r="Y3" s="51"/>
      <c r="Z3" s="51"/>
      <c r="AA3" s="51"/>
      <c r="AB3" s="51"/>
    </row>
    <row r="4" spans="1:28" ht="39.6" hidden="1" customHeight="1">
      <c r="A4" s="65"/>
      <c r="B4" s="65"/>
      <c r="C4" s="65"/>
      <c r="D4" s="65"/>
      <c r="E4" s="65"/>
      <c r="F4" s="65"/>
      <c r="G4" s="65"/>
    </row>
    <row r="5" spans="1:28" ht="1.2" hidden="1" customHeight="1">
      <c r="A5" s="4"/>
      <c r="B5" s="4"/>
      <c r="C5" s="4"/>
      <c r="D5" s="4"/>
      <c r="E5" s="23"/>
      <c r="F5" s="4"/>
      <c r="G5" s="4"/>
    </row>
    <row r="6" spans="1:28" ht="40.950000000000003" customHeight="1">
      <c r="A6" s="4"/>
      <c r="B6" s="4"/>
      <c r="C6" s="5"/>
      <c r="D6" s="5"/>
      <c r="E6" s="23"/>
      <c r="F6" s="79"/>
      <c r="G6" s="79"/>
      <c r="H6" s="51"/>
      <c r="I6" s="51"/>
      <c r="J6" s="51"/>
      <c r="K6" s="51"/>
      <c r="L6" s="51"/>
      <c r="M6" s="51"/>
      <c r="N6" s="51"/>
      <c r="O6" s="51"/>
      <c r="P6" s="51"/>
      <c r="Q6" s="51"/>
      <c r="R6" s="51"/>
      <c r="S6" s="51"/>
      <c r="T6" s="51"/>
      <c r="U6" s="51"/>
      <c r="V6" s="51"/>
      <c r="W6" s="51"/>
      <c r="X6" s="51"/>
      <c r="Y6" s="51"/>
      <c r="Z6" s="51"/>
      <c r="AA6" s="51"/>
      <c r="AB6" s="51"/>
    </row>
    <row r="7" spans="1:28" ht="22.8">
      <c r="A7" s="4"/>
      <c r="B7" s="4"/>
      <c r="C7" s="5"/>
      <c r="D7" s="5"/>
      <c r="E7" s="23"/>
      <c r="F7" s="79"/>
      <c r="G7" s="79"/>
      <c r="H7" s="51"/>
      <c r="I7" s="51"/>
      <c r="J7" s="51"/>
      <c r="K7" s="51"/>
      <c r="L7" s="51"/>
      <c r="M7" s="51"/>
      <c r="N7" s="77"/>
      <c r="O7" s="77"/>
      <c r="P7" s="77"/>
      <c r="Q7" s="77"/>
      <c r="R7" s="77"/>
      <c r="S7" s="51"/>
      <c r="T7" s="51"/>
      <c r="U7" s="51"/>
      <c r="V7" s="51"/>
      <c r="W7" s="51"/>
      <c r="X7" s="51"/>
      <c r="Y7" s="51"/>
      <c r="Z7" s="51"/>
      <c r="AA7" s="51"/>
      <c r="AB7" s="51"/>
    </row>
    <row r="8" spans="1:28" ht="22.8">
      <c r="A8" s="41" t="s">
        <v>65</v>
      </c>
      <c r="B8" s="53" t="s">
        <v>66</v>
      </c>
      <c r="C8" s="5"/>
      <c r="D8" s="5"/>
      <c r="E8" s="23"/>
      <c r="F8" s="79"/>
      <c r="G8" s="79"/>
      <c r="H8" s="51"/>
      <c r="I8" s="51"/>
      <c r="J8" s="51"/>
      <c r="K8" s="51"/>
      <c r="L8" s="51"/>
      <c r="M8" s="51"/>
      <c r="N8" s="77"/>
      <c r="O8" s="77"/>
      <c r="P8" s="77"/>
      <c r="Q8" s="77"/>
      <c r="R8" s="77"/>
      <c r="S8" s="51"/>
      <c r="T8" s="51"/>
      <c r="U8" s="51"/>
      <c r="V8" s="51"/>
      <c r="W8" s="51"/>
      <c r="X8" s="51"/>
      <c r="Y8" s="51"/>
      <c r="Z8" s="51"/>
      <c r="AA8" s="51"/>
      <c r="AB8" s="51"/>
    </row>
    <row r="9" spans="1:28" ht="51.75" customHeight="1">
      <c r="A9" s="30" t="s">
        <v>67</v>
      </c>
      <c r="B9" s="40" t="s">
        <v>68</v>
      </c>
      <c r="C9" s="5"/>
      <c r="D9" s="5"/>
      <c r="E9" s="23"/>
      <c r="F9" s="79"/>
      <c r="G9" s="79"/>
      <c r="H9" s="51"/>
      <c r="I9" s="51"/>
      <c r="J9" s="51"/>
      <c r="K9" s="51"/>
      <c r="L9" s="51"/>
      <c r="M9" s="51"/>
      <c r="N9" s="77"/>
      <c r="O9" s="77"/>
      <c r="P9" s="77"/>
      <c r="Q9" s="77"/>
      <c r="R9" s="77"/>
      <c r="S9" s="51"/>
      <c r="T9" s="51"/>
      <c r="U9" s="51"/>
      <c r="V9" s="51"/>
      <c r="W9" s="51"/>
      <c r="X9" s="51"/>
      <c r="Y9" s="51"/>
      <c r="Z9" s="51"/>
      <c r="AA9" s="51"/>
      <c r="AB9" s="51"/>
    </row>
    <row r="10" spans="1:28" ht="39" customHeight="1">
      <c r="A10" s="4"/>
      <c r="B10" s="4"/>
      <c r="C10" s="4"/>
      <c r="D10" s="4"/>
      <c r="E10" s="23"/>
      <c r="F10" s="79"/>
      <c r="G10" s="79"/>
      <c r="H10" s="51"/>
      <c r="I10" s="51"/>
      <c r="J10" s="51"/>
      <c r="K10" s="51"/>
      <c r="L10" s="51"/>
      <c r="M10" s="81"/>
      <c r="N10" s="7" t="s">
        <v>69</v>
      </c>
      <c r="O10" s="7">
        <f>COUNTIF(A:G,"نجح")</f>
        <v>0</v>
      </c>
      <c r="P10" s="77"/>
      <c r="Q10" s="77"/>
      <c r="R10" s="77"/>
      <c r="S10" s="51"/>
      <c r="T10" s="51"/>
      <c r="U10" s="51"/>
      <c r="V10" s="51"/>
      <c r="W10" s="51"/>
      <c r="X10" s="51"/>
      <c r="Y10" s="51"/>
      <c r="Z10" s="51"/>
      <c r="AA10" s="51"/>
      <c r="AB10" s="51"/>
    </row>
    <row r="11" spans="1:28" ht="48" customHeight="1">
      <c r="A11" s="4"/>
      <c r="B11" s="4"/>
      <c r="C11" s="4"/>
      <c r="D11" s="4"/>
      <c r="E11" s="23"/>
      <c r="F11" s="79"/>
      <c r="G11" s="79"/>
      <c r="H11" s="51"/>
      <c r="I11" s="51"/>
      <c r="J11" s="51"/>
      <c r="K11" s="51"/>
      <c r="L11" s="51"/>
      <c r="M11" s="81"/>
      <c r="N11" s="7"/>
      <c r="O11" s="7"/>
      <c r="P11" s="77"/>
      <c r="Q11" s="77"/>
      <c r="R11" s="77"/>
      <c r="S11" s="51"/>
      <c r="T11" s="51"/>
      <c r="U11" s="51"/>
      <c r="V11" s="51"/>
      <c r="W11" s="51"/>
      <c r="X11" s="51"/>
      <c r="Y11" s="51"/>
      <c r="Z11" s="51"/>
      <c r="AA11" s="51"/>
      <c r="AB11" s="51"/>
    </row>
    <row r="12" spans="1:28" ht="68.25" customHeight="1">
      <c r="A12" s="4"/>
      <c r="B12" s="4"/>
      <c r="C12" s="4"/>
      <c r="D12" s="4"/>
      <c r="E12" s="23"/>
      <c r="F12" s="79"/>
      <c r="G12" s="79"/>
      <c r="H12" s="51"/>
      <c r="I12" s="51"/>
      <c r="J12" s="51"/>
      <c r="K12" s="51"/>
      <c r="L12" s="51"/>
      <c r="M12" s="81"/>
      <c r="N12" s="7" t="s">
        <v>70</v>
      </c>
      <c r="O12" s="7">
        <f>COUNTIF(A:G,"فشل")</f>
        <v>0</v>
      </c>
      <c r="P12" s="77"/>
      <c r="Q12" s="77"/>
      <c r="R12" s="77"/>
      <c r="S12" s="51"/>
      <c r="T12" s="51"/>
      <c r="U12" s="51"/>
      <c r="V12" s="51"/>
      <c r="W12" s="51"/>
      <c r="X12" s="51"/>
      <c r="Y12" s="51"/>
      <c r="Z12" s="51"/>
      <c r="AA12" s="51"/>
      <c r="AB12" s="51"/>
    </row>
    <row r="13" spans="1:28" ht="25.2" customHeight="1">
      <c r="A13" s="4"/>
      <c r="B13" s="4"/>
      <c r="C13" s="4"/>
      <c r="D13" s="4"/>
      <c r="E13" s="23"/>
      <c r="F13" s="4"/>
      <c r="G13" s="4"/>
      <c r="H13" s="51"/>
      <c r="I13" s="51"/>
      <c r="J13" s="51"/>
      <c r="K13" s="51"/>
      <c r="L13" s="51"/>
      <c r="M13" s="51"/>
      <c r="N13" s="51"/>
      <c r="O13" s="77"/>
      <c r="P13" s="77"/>
      <c r="Q13" s="77"/>
      <c r="R13" s="77"/>
      <c r="S13" s="51"/>
      <c r="T13" s="51"/>
      <c r="U13" s="51"/>
      <c r="V13" s="51"/>
      <c r="W13" s="51"/>
      <c r="X13" s="51"/>
      <c r="Y13" s="51"/>
      <c r="Z13" s="51"/>
      <c r="AA13" s="51"/>
      <c r="AB13" s="51"/>
    </row>
    <row r="14" spans="1:28" ht="22.2" customHeight="1">
      <c r="A14" s="4"/>
      <c r="B14" s="4"/>
      <c r="C14" s="4"/>
      <c r="D14" s="4"/>
      <c r="E14" s="23"/>
      <c r="F14" s="4"/>
      <c r="G14" s="4"/>
      <c r="H14" s="51"/>
      <c r="I14" s="51"/>
      <c r="J14" s="51"/>
      <c r="K14" s="51"/>
      <c r="L14" s="51"/>
      <c r="M14" s="51"/>
      <c r="N14" s="51"/>
      <c r="O14" s="77"/>
      <c r="P14" s="77"/>
      <c r="Q14" s="77"/>
      <c r="R14" s="77"/>
      <c r="S14" s="51"/>
      <c r="T14" s="51"/>
      <c r="U14" s="51"/>
      <c r="V14" s="51"/>
      <c r="W14" s="51"/>
      <c r="X14" s="51"/>
      <c r="Y14" s="51"/>
      <c r="Z14" s="51"/>
      <c r="AA14" s="51"/>
      <c r="AB14" s="51"/>
    </row>
    <row r="15" spans="1:28" ht="13.2">
      <c r="A15" s="4"/>
      <c r="B15" s="4"/>
      <c r="C15" s="4"/>
      <c r="D15" s="4"/>
      <c r="E15" s="23"/>
      <c r="F15" s="4"/>
      <c r="G15" s="4"/>
      <c r="H15" s="51"/>
      <c r="I15" s="51"/>
      <c r="J15" s="51"/>
      <c r="K15" s="51"/>
      <c r="L15" s="51"/>
      <c r="M15" s="51"/>
      <c r="N15" s="51"/>
      <c r="O15" s="77"/>
      <c r="P15" s="77"/>
      <c r="Q15" s="77"/>
      <c r="R15" s="77"/>
      <c r="S15" s="51"/>
      <c r="T15" s="51"/>
      <c r="U15" s="51"/>
      <c r="V15" s="51"/>
      <c r="W15" s="51"/>
      <c r="X15" s="51"/>
      <c r="Y15" s="51"/>
      <c r="Z15" s="51"/>
      <c r="AA15" s="51"/>
      <c r="AB15" s="51"/>
    </row>
    <row r="16" spans="1:28" s="8" customFormat="1" ht="34.799999999999997">
      <c r="A16" s="42" t="s">
        <v>71</v>
      </c>
      <c r="B16" s="16" t="s">
        <v>72</v>
      </c>
      <c r="C16" s="16" t="s">
        <v>73</v>
      </c>
      <c r="D16" s="16" t="s">
        <v>74</v>
      </c>
      <c r="E16" s="16" t="s">
        <v>75</v>
      </c>
      <c r="F16" s="16" t="s">
        <v>76</v>
      </c>
      <c r="G16" s="16" t="s">
        <v>77</v>
      </c>
      <c r="H16" s="52"/>
      <c r="I16" s="52"/>
      <c r="J16" s="52"/>
      <c r="K16" s="52"/>
      <c r="L16" s="52"/>
      <c r="M16" s="52"/>
      <c r="N16" s="52"/>
      <c r="O16" s="52"/>
      <c r="P16" s="52"/>
      <c r="Q16" s="52"/>
      <c r="R16" s="52"/>
      <c r="S16" s="52"/>
      <c r="T16" s="52"/>
      <c r="U16" s="52"/>
      <c r="V16" s="52"/>
      <c r="W16" s="52"/>
      <c r="X16" s="52"/>
      <c r="Y16" s="52"/>
      <c r="Z16" s="52"/>
      <c r="AA16" s="52"/>
      <c r="AB16" s="52"/>
    </row>
    <row r="17" spans="1:28" ht="255.75" customHeight="1">
      <c r="A17" s="18">
        <v>1</v>
      </c>
      <c r="B17" s="70" t="s">
        <v>78</v>
      </c>
      <c r="C17" s="70" t="s">
        <v>68</v>
      </c>
      <c r="D17" s="71" t="s">
        <v>79</v>
      </c>
      <c r="E17" s="70" t="s">
        <v>80</v>
      </c>
      <c r="F17" s="72"/>
      <c r="G17" s="73"/>
      <c r="H17" s="51"/>
      <c r="I17" s="51"/>
      <c r="J17" s="51"/>
      <c r="K17" s="51"/>
      <c r="L17" s="51"/>
      <c r="M17" s="51"/>
      <c r="N17" s="51"/>
      <c r="O17" s="51"/>
      <c r="P17" s="51"/>
      <c r="Q17" s="51"/>
      <c r="R17" s="51"/>
      <c r="S17" s="51"/>
      <c r="T17" s="51"/>
      <c r="U17" s="51"/>
      <c r="V17" s="51"/>
      <c r="W17" s="51"/>
      <c r="X17" s="51"/>
      <c r="Y17" s="51"/>
      <c r="Z17" s="51"/>
      <c r="AA17" s="51"/>
      <c r="AB17" s="51"/>
    </row>
    <row r="18" spans="1:28" ht="30">
      <c r="E18" s="24"/>
      <c r="G18" s="1"/>
    </row>
    <row r="19" spans="1:28" ht="30">
      <c r="E19" s="24"/>
      <c r="G19" s="1"/>
    </row>
    <row r="20" spans="1:28" ht="30">
      <c r="E20" s="24"/>
      <c r="G20" s="1"/>
    </row>
    <row r="21" spans="1:28" ht="30">
      <c r="E21" s="24"/>
      <c r="G21" s="1"/>
    </row>
    <row r="22" spans="1:28" ht="30">
      <c r="E22" s="24"/>
      <c r="G22" s="1"/>
    </row>
    <row r="23" spans="1:28" ht="30">
      <c r="E23" s="24"/>
      <c r="G23" s="1"/>
    </row>
    <row r="24" spans="1:28" ht="30">
      <c r="E24" s="24"/>
      <c r="G24" s="1"/>
    </row>
    <row r="25" spans="1:28" ht="49.2" customHeight="1">
      <c r="E25" s="24"/>
      <c r="G25" s="1"/>
    </row>
    <row r="26" spans="1:28" ht="30">
      <c r="E26" s="24"/>
      <c r="G26" s="1"/>
    </row>
    <row r="27" spans="1:28" ht="30">
      <c r="E27" s="24"/>
      <c r="G27" s="1"/>
    </row>
    <row r="28" spans="1:28" ht="30">
      <c r="E28" s="24"/>
      <c r="G28" s="1"/>
    </row>
    <row r="29" spans="1:28" ht="30">
      <c r="E29" s="24"/>
      <c r="G29" s="1"/>
    </row>
    <row r="30" spans="1:28" ht="30">
      <c r="E30" s="24"/>
      <c r="G30" s="1"/>
    </row>
    <row r="31" spans="1:28" ht="30">
      <c r="E31" s="24"/>
      <c r="G31" s="1"/>
    </row>
    <row r="32" spans="1:28" ht="30">
      <c r="E32" s="24"/>
      <c r="G32" s="1"/>
    </row>
    <row r="33" spans="5:7" ht="42.6" customHeight="1">
      <c r="E33" s="24"/>
      <c r="G33" s="1"/>
    </row>
    <row r="34" spans="5:7" ht="30">
      <c r="E34" s="24"/>
      <c r="G34" s="1"/>
    </row>
    <row r="35" spans="5:7" ht="34.200000000000003" customHeight="1">
      <c r="E35" s="24"/>
      <c r="G35" s="1"/>
    </row>
    <row r="36" spans="5:7" ht="45.6" customHeight="1">
      <c r="E36" s="24"/>
      <c r="G36" s="1"/>
    </row>
    <row r="37" spans="5:7" ht="40.950000000000003" customHeight="1">
      <c r="E37" s="24"/>
      <c r="G37" s="1"/>
    </row>
    <row r="38" spans="5:7" ht="42.6" customHeight="1">
      <c r="E38" s="24"/>
      <c r="G38" s="1"/>
    </row>
    <row r="39" spans="5:7" ht="30">
      <c r="E39" s="24"/>
      <c r="G39" s="1"/>
    </row>
    <row r="40" spans="5:7" ht="46.95" customHeight="1">
      <c r="E40" s="24"/>
      <c r="G40" s="1"/>
    </row>
    <row r="41" spans="5:7" ht="43.95" customHeight="1">
      <c r="E41" s="24"/>
      <c r="G41" s="1"/>
    </row>
    <row r="42" spans="5:7" ht="52.95" customHeight="1">
      <c r="E42" s="24"/>
      <c r="G42" s="1"/>
    </row>
    <row r="43" spans="5:7" ht="30">
      <c r="E43" s="24"/>
      <c r="G43" s="1"/>
    </row>
    <row r="44" spans="5:7" ht="30">
      <c r="E44" s="24"/>
      <c r="G44" s="1"/>
    </row>
    <row r="45" spans="5:7" ht="30">
      <c r="E45" s="24"/>
      <c r="G45" s="1"/>
    </row>
    <row r="46" spans="5:7" ht="51" customHeight="1">
      <c r="E46" s="24"/>
      <c r="G46" s="1"/>
    </row>
    <row r="47" spans="5:7" ht="37.950000000000003" customHeight="1">
      <c r="E47" s="24"/>
      <c r="G47" s="1"/>
    </row>
    <row r="48" spans="5:7" ht="30">
      <c r="E48" s="24"/>
      <c r="G48" s="1"/>
    </row>
    <row r="49" spans="5:7" ht="30">
      <c r="E49" s="24"/>
      <c r="G49" s="1"/>
    </row>
    <row r="50" spans="5:7" ht="30">
      <c r="E50" s="24"/>
      <c r="G50" s="1"/>
    </row>
    <row r="51" spans="5:7" ht="30">
      <c r="E51" s="24"/>
      <c r="G51" s="1"/>
    </row>
    <row r="52" spans="5:7" ht="30">
      <c r="E52" s="24"/>
      <c r="G52" s="1"/>
    </row>
    <row r="53" spans="5:7" ht="30">
      <c r="E53" s="24"/>
      <c r="G53" s="1"/>
    </row>
    <row r="54" spans="5:7" ht="30">
      <c r="E54" s="24"/>
      <c r="G54" s="1"/>
    </row>
    <row r="55" spans="5:7" ht="30">
      <c r="E55" s="24"/>
      <c r="G55" s="1"/>
    </row>
    <row r="56" spans="5:7" ht="30">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sheetData>
  <conditionalFormatting sqref="E17">
    <cfRule type="containsText" dxfId="25" priority="1" operator="containsText" text="نجح">
      <formula>NOT(ISERROR(SEARCH(("نجح"),(E17))))</formula>
    </cfRule>
    <cfRule type="containsText" dxfId="24" priority="2" operator="containsText" text="فشل">
      <formula>NOT(ISERROR(SEARCH(("فشل"),(E17))))</formula>
    </cfRule>
  </conditionalFormatting>
  <conditionalFormatting sqref="E18:E896">
    <cfRule type="containsText" dxfId="23" priority="5" operator="containsText" text="نجح">
      <formula>NOT(ISERROR(SEARCH(("نجح"),(E18))))</formula>
    </cfRule>
    <cfRule type="containsText" dxfId="22" priority="6" operator="containsText" text="فشل">
      <formula>NOT(ISERROR(SEARCH(("فشل"),(E18))))</formula>
    </cfRule>
  </conditionalFormatting>
  <dataValidations count="2">
    <dataValidation type="list" allowBlank="1" showInputMessage="1" showErrorMessage="1" sqref="G17" xr:uid="{CDE549A9-4127-4E8D-B05A-E6522271288A}">
      <formula1>$N$10:$N$12</formula1>
    </dataValidation>
    <dataValidation showDropDown="1" showInputMessage="1" showErrorMessage="1" sqref="C6:D6" xr:uid="{D008D1AD-FFEC-468B-88E4-BF405AB699F5}"/>
  </dataValidations>
  <pageMargins left="0.7" right="0.7" top="0.75" bottom="0.75" header="0.3" footer="0.3"/>
  <pageSetup paperSize="9"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29AB-48D2-4876-9486-51EE3AE166CD}">
  <sheetPr>
    <outlinePr summaryBelow="0" summaryRight="0"/>
  </sheetPr>
  <dimension ref="A1:AS896"/>
  <sheetViews>
    <sheetView rightToLeft="1" zoomScale="58" zoomScaleNormal="100" workbookViewId="0">
      <selection activeCell="C17" sqref="C1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14" width="9.109375"/>
    <col min="15" max="15" width="14" customWidth="1"/>
    <col min="16" max="16" width="19.88671875" customWidth="1"/>
  </cols>
  <sheetData>
    <row r="1" spans="1:45" ht="36.6" customHeight="1">
      <c r="A1" s="140"/>
      <c r="B1" s="140"/>
      <c r="C1" s="140"/>
      <c r="D1" s="140"/>
      <c r="E1" s="140"/>
      <c r="F1" s="140"/>
      <c r="G1" s="140"/>
      <c r="I1" s="92"/>
      <c r="J1" s="92"/>
      <c r="K1" s="92"/>
      <c r="L1" s="92"/>
      <c r="M1" s="92"/>
      <c r="N1" s="92"/>
      <c r="O1" s="92"/>
      <c r="P1" s="92"/>
      <c r="Q1" s="92"/>
      <c r="R1" s="92"/>
      <c r="S1" s="92"/>
      <c r="T1" s="92"/>
      <c r="U1" s="92"/>
      <c r="V1" s="92"/>
      <c r="W1" s="92"/>
      <c r="X1" s="92"/>
    </row>
    <row r="2" spans="1:45" ht="40.200000000000003" customHeight="1">
      <c r="A2" s="140"/>
      <c r="B2" s="140"/>
      <c r="C2" s="140"/>
      <c r="D2" s="140"/>
      <c r="E2" s="140"/>
      <c r="F2" s="140"/>
      <c r="G2" s="140"/>
      <c r="I2" s="92"/>
      <c r="J2" s="92"/>
      <c r="K2" s="92"/>
      <c r="L2" s="92"/>
      <c r="M2" s="92"/>
      <c r="N2" s="92"/>
      <c r="O2" s="92"/>
      <c r="P2" s="92"/>
      <c r="Q2" s="92"/>
      <c r="R2" s="92"/>
      <c r="S2" s="92"/>
      <c r="T2" s="92"/>
      <c r="U2" s="92"/>
      <c r="V2" s="92"/>
      <c r="W2" s="92"/>
      <c r="X2" s="92"/>
    </row>
    <row r="3" spans="1:45" ht="29.25" customHeight="1">
      <c r="A3" s="140"/>
      <c r="B3" s="140"/>
      <c r="C3" s="140"/>
      <c r="D3" s="140"/>
      <c r="E3" s="140"/>
      <c r="F3" s="140"/>
      <c r="G3" s="140"/>
      <c r="I3" s="92"/>
      <c r="J3" s="92"/>
      <c r="K3" s="92"/>
      <c r="L3" s="92"/>
      <c r="M3" s="92"/>
      <c r="N3" s="92"/>
      <c r="O3" s="92"/>
      <c r="P3" s="92"/>
      <c r="Q3" s="92"/>
      <c r="R3" s="92"/>
      <c r="S3" s="92"/>
      <c r="T3" s="92"/>
      <c r="U3" s="92"/>
      <c r="V3" s="92"/>
      <c r="W3" s="92"/>
      <c r="X3" s="92"/>
    </row>
    <row r="4" spans="1:45" ht="39.6" hidden="1" customHeight="1">
      <c r="A4" s="65"/>
      <c r="B4" s="65"/>
      <c r="C4" s="65"/>
      <c r="D4" s="65"/>
      <c r="E4" s="65"/>
      <c r="F4" s="65"/>
      <c r="G4" s="65"/>
    </row>
    <row r="5" spans="1:45" ht="1.2" hidden="1" customHeight="1">
      <c r="A5" s="4"/>
      <c r="B5" s="4"/>
      <c r="C5" s="4"/>
      <c r="D5" s="4"/>
      <c r="E5" s="23"/>
      <c r="F5" s="4"/>
      <c r="G5" s="4"/>
    </row>
    <row r="6" spans="1:45" ht="40.950000000000003" customHeight="1">
      <c r="A6" s="4"/>
      <c r="B6" s="4"/>
      <c r="C6" s="5"/>
      <c r="D6" s="5"/>
      <c r="E6" s="23"/>
      <c r="F6" s="79"/>
      <c r="G6" s="79"/>
      <c r="H6" s="51"/>
      <c r="I6" s="92"/>
      <c r="J6" s="92"/>
      <c r="K6" s="92"/>
      <c r="L6" s="92"/>
      <c r="M6" s="92"/>
      <c r="N6" s="92"/>
      <c r="O6" s="92"/>
      <c r="P6" s="92"/>
      <c r="Q6" s="92"/>
      <c r="R6" s="92"/>
      <c r="S6" s="92"/>
      <c r="T6" s="92"/>
      <c r="U6" s="92"/>
      <c r="V6" s="92"/>
      <c r="W6" s="92"/>
      <c r="X6" s="92"/>
      <c r="Y6" s="51"/>
      <c r="Z6" s="51"/>
      <c r="AA6" s="51"/>
      <c r="AB6" s="51"/>
      <c r="AC6" s="51"/>
      <c r="AD6" s="51"/>
      <c r="AE6" s="51"/>
      <c r="AF6" s="51"/>
      <c r="AG6" s="51"/>
      <c r="AH6" s="51"/>
      <c r="AI6" s="51"/>
      <c r="AJ6" s="51"/>
      <c r="AK6" s="51"/>
      <c r="AL6" s="51"/>
      <c r="AM6" s="51"/>
      <c r="AN6" s="51"/>
      <c r="AO6" s="51"/>
      <c r="AP6" s="51"/>
      <c r="AQ6" s="51"/>
      <c r="AR6" s="51"/>
      <c r="AS6" s="51"/>
    </row>
    <row r="7" spans="1:45" ht="22.8">
      <c r="A7" s="4"/>
      <c r="B7" s="4"/>
      <c r="C7" s="5"/>
      <c r="D7" s="5"/>
      <c r="E7" s="23"/>
      <c r="F7" s="79"/>
      <c r="G7" s="79"/>
      <c r="H7" s="51"/>
      <c r="I7" s="92"/>
      <c r="J7" s="92"/>
      <c r="K7" s="92"/>
      <c r="L7" s="92"/>
      <c r="M7" s="92"/>
      <c r="N7" s="6"/>
      <c r="O7" s="6"/>
      <c r="P7" s="6"/>
      <c r="Q7" s="6"/>
      <c r="R7" s="6"/>
      <c r="S7" s="92"/>
      <c r="T7" s="92"/>
      <c r="U7" s="92"/>
      <c r="V7" s="92"/>
      <c r="W7" s="92"/>
      <c r="X7" s="92"/>
      <c r="Y7" s="51"/>
      <c r="Z7" s="51"/>
      <c r="AA7" s="51"/>
      <c r="AB7" s="51"/>
      <c r="AC7" s="51"/>
      <c r="AD7" s="51"/>
      <c r="AE7" s="51"/>
      <c r="AF7" s="51"/>
      <c r="AG7" s="51"/>
      <c r="AH7" s="51"/>
      <c r="AI7" s="51"/>
      <c r="AJ7" s="51"/>
      <c r="AK7" s="51"/>
      <c r="AL7" s="51"/>
      <c r="AM7" s="51"/>
      <c r="AN7" s="51"/>
      <c r="AO7" s="51"/>
      <c r="AP7" s="51"/>
      <c r="AQ7" s="51"/>
      <c r="AR7" s="51"/>
      <c r="AS7" s="51"/>
    </row>
    <row r="8" spans="1:45" ht="22.8">
      <c r="A8" s="41" t="s">
        <v>65</v>
      </c>
      <c r="B8" s="53" t="s">
        <v>66</v>
      </c>
      <c r="C8" s="5"/>
      <c r="D8" s="5"/>
      <c r="E8" s="23"/>
      <c r="F8" s="79"/>
      <c r="G8" s="79"/>
      <c r="H8" s="51"/>
      <c r="I8" s="92"/>
      <c r="J8" s="81"/>
      <c r="K8" s="81"/>
      <c r="L8" s="81"/>
      <c r="M8" s="81"/>
      <c r="N8" s="7"/>
      <c r="O8" s="7"/>
      <c r="P8" s="7"/>
      <c r="Q8" s="6"/>
      <c r="R8" s="6"/>
      <c r="S8" s="92"/>
      <c r="T8" s="92"/>
      <c r="U8" s="92"/>
      <c r="V8" s="92"/>
      <c r="W8" s="92"/>
      <c r="X8" s="92"/>
      <c r="Y8" s="51"/>
      <c r="Z8" s="51"/>
      <c r="AA8" s="51"/>
      <c r="AB8" s="51"/>
      <c r="AC8" s="51"/>
      <c r="AD8" s="51"/>
      <c r="AE8" s="51"/>
      <c r="AF8" s="51"/>
      <c r="AG8" s="51"/>
      <c r="AH8" s="51"/>
      <c r="AI8" s="51"/>
      <c r="AJ8" s="51"/>
      <c r="AK8" s="51"/>
      <c r="AL8" s="51"/>
      <c r="AM8" s="51"/>
      <c r="AN8" s="51"/>
      <c r="AO8" s="51"/>
      <c r="AP8" s="51"/>
      <c r="AQ8" s="51"/>
      <c r="AR8" s="51"/>
      <c r="AS8" s="51"/>
    </row>
    <row r="9" spans="1:45" ht="51.75" customHeight="1">
      <c r="A9" s="30" t="s">
        <v>67</v>
      </c>
      <c r="B9" s="40" t="s">
        <v>81</v>
      </c>
      <c r="C9" s="5"/>
      <c r="D9" s="5"/>
      <c r="E9" s="23"/>
      <c r="F9" s="79"/>
      <c r="G9" s="79"/>
      <c r="H9" s="51"/>
      <c r="I9" s="92"/>
      <c r="J9" s="81"/>
      <c r="K9" s="81"/>
      <c r="L9" s="81"/>
      <c r="M9" s="81"/>
      <c r="N9" s="7"/>
      <c r="O9" s="7"/>
      <c r="P9" s="7"/>
      <c r="Q9" s="6"/>
      <c r="R9" s="6"/>
      <c r="S9" s="92"/>
      <c r="T9" s="92"/>
      <c r="U9" s="92"/>
      <c r="V9" s="92"/>
      <c r="W9" s="92"/>
      <c r="X9" s="92"/>
      <c r="Y9" s="51"/>
      <c r="Z9" s="51"/>
      <c r="AA9" s="51"/>
      <c r="AB9" s="51"/>
      <c r="AC9" s="51"/>
      <c r="AD9" s="51"/>
      <c r="AE9" s="51"/>
      <c r="AF9" s="51"/>
      <c r="AG9" s="51"/>
      <c r="AH9" s="51"/>
      <c r="AI9" s="51"/>
      <c r="AJ9" s="51"/>
      <c r="AK9" s="51"/>
      <c r="AL9" s="51"/>
      <c r="AM9" s="51"/>
      <c r="AN9" s="51"/>
      <c r="AO9" s="51"/>
      <c r="AP9" s="51"/>
      <c r="AQ9" s="51"/>
      <c r="AR9" s="51"/>
      <c r="AS9" s="51"/>
    </row>
    <row r="10" spans="1:45" ht="39" customHeight="1">
      <c r="A10" s="4"/>
      <c r="B10" s="4"/>
      <c r="C10" s="4"/>
      <c r="D10" s="4"/>
      <c r="E10" s="23"/>
      <c r="F10" s="79"/>
      <c r="G10" s="79"/>
      <c r="H10" s="51"/>
      <c r="I10" s="92"/>
      <c r="J10" s="81"/>
      <c r="K10" s="81"/>
      <c r="L10" s="81"/>
      <c r="M10" s="81"/>
      <c r="N10" s="7" t="s">
        <v>69</v>
      </c>
      <c r="O10" s="7">
        <f>COUNTIF(A:G,"نجح")</f>
        <v>0</v>
      </c>
      <c r="P10" s="7"/>
      <c r="Q10" s="6"/>
      <c r="R10" s="6"/>
      <c r="S10" s="92"/>
      <c r="T10" s="92"/>
      <c r="U10" s="92"/>
      <c r="V10" s="92"/>
      <c r="W10" s="92"/>
      <c r="X10" s="92"/>
      <c r="Y10" s="51"/>
      <c r="Z10" s="51"/>
      <c r="AA10" s="51"/>
      <c r="AB10" s="51"/>
      <c r="AC10" s="51"/>
      <c r="AD10" s="51"/>
      <c r="AE10" s="51"/>
      <c r="AF10" s="51"/>
      <c r="AG10" s="51"/>
      <c r="AH10" s="51"/>
      <c r="AI10" s="51"/>
      <c r="AJ10" s="51"/>
      <c r="AK10" s="51"/>
      <c r="AL10" s="51"/>
      <c r="AM10" s="51"/>
      <c r="AN10" s="51"/>
      <c r="AO10" s="51"/>
      <c r="AP10" s="51"/>
      <c r="AQ10" s="51"/>
      <c r="AR10" s="51"/>
      <c r="AS10" s="51"/>
    </row>
    <row r="11" spans="1:45" ht="48" customHeight="1">
      <c r="A11" s="4"/>
      <c r="B11" s="4"/>
      <c r="C11" s="4"/>
      <c r="D11" s="4"/>
      <c r="E11" s="23"/>
      <c r="F11" s="79"/>
      <c r="G11" s="79"/>
      <c r="H11" s="51"/>
      <c r="I11" s="92"/>
      <c r="J11" s="81"/>
      <c r="K11" s="81"/>
      <c r="L11" s="81"/>
      <c r="M11" s="81"/>
      <c r="N11" s="7"/>
      <c r="O11" s="7"/>
      <c r="P11" s="7"/>
      <c r="Q11" s="6"/>
      <c r="R11" s="6"/>
      <c r="S11" s="92"/>
      <c r="T11" s="92"/>
      <c r="U11" s="92"/>
      <c r="V11" s="92"/>
      <c r="W11" s="92"/>
      <c r="X11" s="92"/>
      <c r="Y11" s="51"/>
      <c r="Z11" s="51"/>
      <c r="AA11" s="51"/>
      <c r="AB11" s="51"/>
      <c r="AC11" s="51"/>
      <c r="AD11" s="51"/>
      <c r="AE11" s="51"/>
      <c r="AF11" s="51"/>
      <c r="AG11" s="51"/>
      <c r="AH11" s="51"/>
      <c r="AI11" s="51"/>
      <c r="AJ11" s="51"/>
      <c r="AK11" s="51"/>
      <c r="AL11" s="51"/>
      <c r="AM11" s="51"/>
      <c r="AN11" s="51"/>
      <c r="AO11" s="51"/>
      <c r="AP11" s="51"/>
      <c r="AQ11" s="51"/>
      <c r="AR11" s="51"/>
      <c r="AS11" s="51"/>
    </row>
    <row r="12" spans="1:45" ht="68.25" customHeight="1">
      <c r="A12" s="4"/>
      <c r="B12" s="4"/>
      <c r="C12" s="4"/>
      <c r="D12" s="4"/>
      <c r="E12" s="23"/>
      <c r="F12" s="79"/>
      <c r="G12" s="79"/>
      <c r="H12" s="51"/>
      <c r="I12" s="92"/>
      <c r="J12" s="81"/>
      <c r="K12" s="81"/>
      <c r="L12" s="81"/>
      <c r="M12" s="81"/>
      <c r="N12" s="7" t="s">
        <v>70</v>
      </c>
      <c r="O12" s="7">
        <f>COUNTIF(A:G,"فشل")</f>
        <v>0</v>
      </c>
      <c r="P12" s="7"/>
      <c r="Q12" s="6"/>
      <c r="R12" s="6"/>
      <c r="S12" s="92"/>
      <c r="T12" s="92"/>
      <c r="U12" s="92"/>
      <c r="V12" s="92"/>
      <c r="W12" s="92"/>
      <c r="X12" s="92"/>
      <c r="Y12" s="51"/>
      <c r="Z12" s="51"/>
      <c r="AA12" s="51"/>
      <c r="AB12" s="51"/>
      <c r="AC12" s="51"/>
      <c r="AD12" s="51"/>
      <c r="AE12" s="51"/>
      <c r="AF12" s="51"/>
      <c r="AG12" s="51"/>
      <c r="AH12" s="51"/>
      <c r="AI12" s="51"/>
      <c r="AJ12" s="51"/>
      <c r="AK12" s="51"/>
      <c r="AL12" s="51"/>
      <c r="AM12" s="51"/>
      <c r="AN12" s="51"/>
      <c r="AO12" s="51"/>
      <c r="AP12" s="51"/>
      <c r="AQ12" s="51"/>
      <c r="AR12" s="51"/>
      <c r="AS12" s="51"/>
    </row>
    <row r="13" spans="1:45" ht="25.2" customHeight="1">
      <c r="A13" s="4"/>
      <c r="B13" s="4"/>
      <c r="C13" s="4"/>
      <c r="D13" s="4"/>
      <c r="E13" s="23"/>
      <c r="F13" s="79"/>
      <c r="G13" s="79"/>
      <c r="H13" s="51"/>
      <c r="I13" s="92"/>
      <c r="J13" s="81"/>
      <c r="K13" s="81"/>
      <c r="L13" s="81"/>
      <c r="M13" s="81"/>
      <c r="N13" s="81"/>
      <c r="O13" s="7"/>
      <c r="P13" s="7"/>
      <c r="Q13" s="6"/>
      <c r="R13" s="6"/>
      <c r="S13" s="92"/>
      <c r="T13" s="92"/>
      <c r="U13" s="92"/>
      <c r="V13" s="92"/>
      <c r="W13" s="92"/>
      <c r="X13" s="92"/>
      <c r="Y13" s="51"/>
      <c r="Z13" s="51"/>
      <c r="AA13" s="51"/>
      <c r="AB13" s="51"/>
      <c r="AC13" s="51"/>
      <c r="AD13" s="51"/>
      <c r="AE13" s="51"/>
      <c r="AF13" s="51"/>
      <c r="AG13" s="51"/>
      <c r="AH13" s="51"/>
      <c r="AI13" s="51"/>
      <c r="AJ13" s="51"/>
      <c r="AK13" s="51"/>
      <c r="AL13" s="51"/>
      <c r="AM13" s="51"/>
      <c r="AN13" s="51"/>
      <c r="AO13" s="51"/>
      <c r="AP13" s="51"/>
      <c r="AQ13" s="51"/>
      <c r="AR13" s="51"/>
      <c r="AS13" s="51"/>
    </row>
    <row r="14" spans="1:45" ht="22.2" customHeight="1">
      <c r="A14" s="4"/>
      <c r="B14" s="4"/>
      <c r="C14" s="4"/>
      <c r="D14" s="4"/>
      <c r="E14" s="23"/>
      <c r="F14" s="4"/>
      <c r="G14" s="4"/>
      <c r="H14" s="51"/>
      <c r="I14" s="92"/>
      <c r="J14" s="81"/>
      <c r="K14" s="81"/>
      <c r="L14" s="81"/>
      <c r="M14" s="81"/>
      <c r="N14" s="81"/>
      <c r="O14" s="7"/>
      <c r="P14" s="7"/>
      <c r="Q14" s="6"/>
      <c r="R14" s="6"/>
      <c r="S14" s="92"/>
      <c r="T14" s="92"/>
      <c r="U14" s="92"/>
      <c r="V14" s="92"/>
      <c r="W14" s="92"/>
      <c r="X14" s="92"/>
    </row>
    <row r="15" spans="1:45" ht="13.2">
      <c r="A15" s="4"/>
      <c r="B15" s="4"/>
      <c r="C15" s="4"/>
      <c r="D15" s="4"/>
      <c r="E15" s="23"/>
      <c r="F15" s="4"/>
      <c r="G15" s="4"/>
      <c r="H15" s="51"/>
      <c r="I15" s="92"/>
      <c r="J15" s="81"/>
      <c r="K15" s="81"/>
      <c r="L15" s="81"/>
      <c r="M15" s="81"/>
      <c r="N15" s="81"/>
      <c r="O15" s="7"/>
      <c r="P15" s="7"/>
      <c r="Q15" s="6"/>
      <c r="R15" s="6"/>
      <c r="S15" s="92"/>
      <c r="T15" s="92"/>
      <c r="U15" s="92"/>
      <c r="V15" s="92"/>
      <c r="W15" s="92"/>
      <c r="X15" s="92"/>
    </row>
    <row r="16" spans="1:45" s="8" customFormat="1" ht="34.799999999999997">
      <c r="A16" s="42" t="s">
        <v>71</v>
      </c>
      <c r="B16" s="16" t="s">
        <v>72</v>
      </c>
      <c r="C16" s="16" t="s">
        <v>73</v>
      </c>
      <c r="D16" s="16" t="s">
        <v>74</v>
      </c>
      <c r="E16" s="16" t="s">
        <v>75</v>
      </c>
      <c r="F16" s="16" t="s">
        <v>76</v>
      </c>
      <c r="G16" s="16" t="s">
        <v>77</v>
      </c>
      <c r="H16" s="52"/>
      <c r="I16" s="93"/>
      <c r="J16" s="82"/>
      <c r="K16" s="82"/>
      <c r="L16" s="82"/>
      <c r="M16" s="82"/>
      <c r="N16" s="82"/>
      <c r="O16" s="82"/>
      <c r="P16" s="82"/>
      <c r="Q16" s="93"/>
      <c r="R16" s="93"/>
      <c r="S16" s="93"/>
      <c r="T16" s="93"/>
      <c r="U16" s="93"/>
      <c r="V16" s="93"/>
      <c r="W16" s="93"/>
      <c r="X16" s="93"/>
    </row>
    <row r="17" spans="1:24" ht="141.75" customHeight="1">
      <c r="A17" s="83">
        <v>1</v>
      </c>
      <c r="B17" s="9" t="s">
        <v>82</v>
      </c>
      <c r="C17" s="9" t="s">
        <v>81</v>
      </c>
      <c r="D17" s="35" t="s">
        <v>83</v>
      </c>
      <c r="E17" s="9" t="s">
        <v>84</v>
      </c>
      <c r="F17" s="22"/>
      <c r="G17" s="48"/>
      <c r="H17" s="51"/>
      <c r="I17" s="92"/>
      <c r="J17" s="92"/>
      <c r="K17" s="92"/>
      <c r="L17" s="92"/>
      <c r="M17" s="92"/>
      <c r="N17" s="92"/>
      <c r="O17" s="92"/>
      <c r="P17" s="92"/>
      <c r="Q17" s="92"/>
      <c r="R17" s="92"/>
      <c r="S17" s="92"/>
      <c r="T17" s="92"/>
      <c r="U17" s="92"/>
      <c r="V17" s="92"/>
      <c r="W17" s="92"/>
      <c r="X17" s="92"/>
    </row>
    <row r="18" spans="1:24" ht="141.75" customHeight="1">
      <c r="A18" s="18">
        <v>2</v>
      </c>
      <c r="B18" s="32" t="s">
        <v>82</v>
      </c>
      <c r="C18" s="9" t="s">
        <v>85</v>
      </c>
      <c r="D18" s="35" t="s">
        <v>86</v>
      </c>
      <c r="E18" s="9" t="s">
        <v>87</v>
      </c>
      <c r="F18" s="10"/>
      <c r="G18" s="14"/>
      <c r="H18" s="51"/>
      <c r="I18" s="51"/>
      <c r="J18" s="51"/>
      <c r="K18" s="51"/>
      <c r="L18" s="51"/>
      <c r="M18" s="51"/>
    </row>
    <row r="19" spans="1:24" ht="110.25" customHeight="1">
      <c r="A19" s="18">
        <v>3</v>
      </c>
      <c r="B19" s="32" t="s">
        <v>82</v>
      </c>
      <c r="C19" s="33" t="s">
        <v>88</v>
      </c>
      <c r="D19" s="10" t="s">
        <v>89</v>
      </c>
      <c r="E19" s="33" t="s">
        <v>90</v>
      </c>
      <c r="F19" s="10"/>
      <c r="G19" s="14"/>
    </row>
    <row r="20" spans="1:24" ht="110.25" customHeight="1">
      <c r="E20" s="24"/>
      <c r="G20" s="1"/>
    </row>
    <row r="21" spans="1:24" ht="30">
      <c r="E21" s="24"/>
      <c r="G21" s="1"/>
    </row>
    <row r="22" spans="1:24" ht="30">
      <c r="E22" s="24"/>
      <c r="G22" s="1"/>
    </row>
    <row r="23" spans="1:24" ht="49.2" customHeight="1">
      <c r="E23" s="24"/>
      <c r="G23" s="1"/>
    </row>
    <row r="24" spans="1:24" ht="30">
      <c r="E24" s="24"/>
      <c r="G24" s="1"/>
    </row>
    <row r="25" spans="1:24" ht="30">
      <c r="E25" s="24"/>
      <c r="G25" s="1"/>
    </row>
    <row r="26" spans="1:24" ht="30">
      <c r="E26" s="24"/>
      <c r="G26" s="1"/>
    </row>
    <row r="27" spans="1:24" ht="30">
      <c r="E27" s="24"/>
      <c r="G27" s="1"/>
    </row>
    <row r="28" spans="1:24" ht="30">
      <c r="E28" s="24"/>
      <c r="G28" s="1"/>
    </row>
    <row r="29" spans="1:24" ht="30">
      <c r="E29" s="24"/>
      <c r="G29" s="1"/>
    </row>
    <row r="30" spans="1:24" ht="30">
      <c r="E30" s="24"/>
      <c r="G30" s="1"/>
    </row>
    <row r="31" spans="1:24" ht="42.6" customHeight="1">
      <c r="E31" s="24"/>
      <c r="G31" s="1"/>
    </row>
    <row r="32" spans="1:24" ht="30">
      <c r="E32" s="24"/>
      <c r="G32" s="1"/>
    </row>
    <row r="33" spans="5:7" ht="34.200000000000003" customHeight="1">
      <c r="E33" s="24"/>
      <c r="G33" s="1"/>
    </row>
    <row r="34" spans="5:7" ht="45.6" customHeight="1">
      <c r="E34" s="24"/>
      <c r="G34" s="1"/>
    </row>
    <row r="35" spans="5:7" ht="40.950000000000003" customHeight="1">
      <c r="E35" s="24"/>
      <c r="G35" s="1"/>
    </row>
    <row r="36" spans="5:7" ht="42.6" customHeight="1">
      <c r="E36" s="24"/>
      <c r="G36" s="1"/>
    </row>
    <row r="37" spans="5:7" ht="30">
      <c r="E37" s="24"/>
      <c r="G37" s="1"/>
    </row>
    <row r="38" spans="5:7" ht="46.95" customHeight="1">
      <c r="E38" s="24"/>
      <c r="G38" s="1"/>
    </row>
    <row r="39" spans="5:7" ht="43.95" customHeight="1">
      <c r="E39" s="24"/>
      <c r="G39" s="1"/>
    </row>
    <row r="40" spans="5:7" ht="52.95" customHeight="1">
      <c r="E40" s="24"/>
      <c r="G40" s="1"/>
    </row>
    <row r="41" spans="5:7" ht="30">
      <c r="E41" s="24"/>
      <c r="G41" s="1"/>
    </row>
    <row r="42" spans="5:7" ht="30">
      <c r="E42" s="24"/>
      <c r="G42" s="1"/>
    </row>
    <row r="43" spans="5:7" ht="30">
      <c r="E43" s="24"/>
      <c r="G43" s="1"/>
    </row>
    <row r="44" spans="5:7" ht="51" customHeight="1">
      <c r="E44" s="24"/>
      <c r="G44" s="1"/>
    </row>
    <row r="45" spans="5:7" ht="37.950000000000003" customHeight="1">
      <c r="E45" s="24"/>
      <c r="G45" s="1"/>
    </row>
    <row r="46" spans="5:7" ht="30">
      <c r="E46" s="24"/>
      <c r="G46" s="1"/>
    </row>
    <row r="47" spans="5:7" ht="30">
      <c r="E47" s="24"/>
      <c r="G47" s="1"/>
    </row>
    <row r="48" spans="5:7" ht="30">
      <c r="E48" s="24"/>
      <c r="G48" s="1"/>
    </row>
    <row r="49" spans="5:7" ht="30">
      <c r="E49" s="24"/>
      <c r="G49" s="1"/>
    </row>
    <row r="50" spans="5:7" ht="30">
      <c r="E50" s="24"/>
      <c r="G50" s="1"/>
    </row>
    <row r="51" spans="5:7" ht="30">
      <c r="E51" s="24"/>
      <c r="G51" s="1"/>
    </row>
    <row r="52" spans="5:7" ht="30">
      <c r="E52" s="24"/>
      <c r="G52" s="1"/>
    </row>
    <row r="53" spans="5:7" ht="30">
      <c r="E53" s="24"/>
      <c r="G53" s="1"/>
    </row>
    <row r="54" spans="5:7" ht="30">
      <c r="E54" s="24"/>
      <c r="G54" s="1"/>
    </row>
    <row r="55" spans="5:7" ht="30">
      <c r="E55" s="24"/>
      <c r="G55" s="1"/>
    </row>
    <row r="56" spans="5:7" ht="30">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15.75" customHeight="1">
      <c r="E895" s="24"/>
      <c r="G895" s="1"/>
    </row>
    <row r="896" spans="5:7" ht="15.75" customHeight="1">
      <c r="E896" s="24"/>
      <c r="G896" s="1"/>
    </row>
  </sheetData>
  <mergeCells count="1">
    <mergeCell ref="A1:G3"/>
  </mergeCells>
  <conditionalFormatting sqref="E20:E896">
    <cfRule type="containsText" dxfId="21" priority="3" operator="containsText" text="نجح">
      <formula>NOT(ISERROR(SEARCH(("نجح"),(E20))))</formula>
    </cfRule>
    <cfRule type="containsText" dxfId="20" priority="4" operator="containsText" text="فشل">
      <formula>NOT(ISERROR(SEARCH(("فشل"),(E20))))</formula>
    </cfRule>
  </conditionalFormatting>
  <dataValidations count="2">
    <dataValidation showDropDown="1" showInputMessage="1" showErrorMessage="1" sqref="C6:D6" xr:uid="{4FA98A15-BD40-44CD-B8B6-6F16F637876A}"/>
    <dataValidation type="list" allowBlank="1" showInputMessage="1" showErrorMessage="1" sqref="G17:G19" xr:uid="{00FDC2B8-B2A3-4434-AA9F-CB5AE110A521}">
      <formula1>$N$10:$N$12</formula1>
    </dataValidation>
  </dataValidations>
  <pageMargins left="0.7" right="0.7" top="0.75" bottom="0.75" header="0.3" footer="0.3"/>
  <pageSetup paperSize="9"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3682-043C-4F96-8B61-8C0ADA267F86}">
  <sheetPr>
    <outlinePr summaryBelow="0" summaryRight="0"/>
  </sheetPr>
  <dimension ref="A1:AG910"/>
  <sheetViews>
    <sheetView rightToLeft="1" zoomScale="58" zoomScaleNormal="100" workbookViewId="0">
      <selection activeCell="A17" sqref="A17:A31"/>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14" width="9.109375"/>
    <col min="15" max="15" width="14" customWidth="1"/>
    <col min="16" max="16" width="19.88671875" customWidth="1"/>
  </cols>
  <sheetData>
    <row r="1" spans="1:33" ht="36.6" customHeight="1">
      <c r="A1" s="65"/>
      <c r="B1" s="65"/>
      <c r="C1" s="65"/>
      <c r="D1" s="65"/>
      <c r="E1" s="65"/>
      <c r="F1" s="78"/>
      <c r="G1" s="97"/>
      <c r="H1" s="98"/>
      <c r="I1" s="98"/>
      <c r="J1" s="98"/>
      <c r="K1" s="98"/>
      <c r="L1" s="98"/>
      <c r="M1" s="98"/>
      <c r="N1" s="98"/>
      <c r="O1" s="98"/>
      <c r="P1" s="98"/>
      <c r="Q1" s="98"/>
      <c r="R1" s="98"/>
      <c r="S1" s="98"/>
      <c r="T1" s="98"/>
      <c r="U1" s="98"/>
      <c r="V1" s="98"/>
      <c r="W1" s="98"/>
      <c r="X1" s="98"/>
      <c r="Y1" s="98"/>
      <c r="Z1" s="98"/>
      <c r="AA1" s="98"/>
      <c r="AB1" s="98"/>
      <c r="AC1" s="98"/>
      <c r="AD1" s="98"/>
      <c r="AE1" s="98"/>
      <c r="AF1" s="98"/>
      <c r="AG1" s="98"/>
    </row>
    <row r="2" spans="1:33" ht="40.200000000000003" customHeight="1">
      <c r="A2" s="65"/>
      <c r="B2" s="65"/>
      <c r="C2" s="65"/>
      <c r="D2" s="65"/>
      <c r="E2" s="65"/>
      <c r="F2" s="78"/>
      <c r="G2" s="97"/>
      <c r="H2" s="98"/>
      <c r="I2" s="98"/>
      <c r="J2" s="98"/>
      <c r="K2" s="98"/>
      <c r="L2" s="98"/>
      <c r="M2" s="98"/>
      <c r="N2" s="98"/>
      <c r="O2" s="98"/>
      <c r="P2" s="98"/>
      <c r="Q2" s="98"/>
      <c r="R2" s="98"/>
      <c r="S2" s="98"/>
      <c r="T2" s="98"/>
      <c r="U2" s="98"/>
      <c r="V2" s="98"/>
      <c r="W2" s="98"/>
      <c r="X2" s="98"/>
      <c r="Y2" s="98"/>
      <c r="Z2" s="98"/>
      <c r="AA2" s="98"/>
      <c r="AB2" s="98"/>
      <c r="AC2" s="98"/>
      <c r="AD2" s="98"/>
      <c r="AE2" s="98"/>
      <c r="AF2" s="98"/>
      <c r="AG2" s="98"/>
    </row>
    <row r="3" spans="1:33" ht="29.25" customHeight="1">
      <c r="A3" s="65"/>
      <c r="B3" s="65"/>
      <c r="C3" s="65"/>
      <c r="D3" s="65"/>
      <c r="E3" s="65"/>
      <c r="F3" s="78"/>
      <c r="G3" s="97"/>
      <c r="H3" s="98"/>
      <c r="I3" s="98"/>
      <c r="J3" s="98"/>
      <c r="K3" s="98"/>
      <c r="L3" s="98"/>
      <c r="M3" s="98"/>
      <c r="N3" s="98"/>
      <c r="O3" s="98"/>
      <c r="P3" s="98"/>
      <c r="Q3" s="98"/>
      <c r="R3" s="98"/>
      <c r="S3" s="98"/>
      <c r="T3" s="98"/>
      <c r="U3" s="98"/>
      <c r="V3" s="98"/>
      <c r="W3" s="98"/>
      <c r="X3" s="98"/>
      <c r="Y3" s="98"/>
      <c r="Z3" s="98"/>
      <c r="AA3" s="98"/>
      <c r="AB3" s="98"/>
      <c r="AC3" s="98"/>
      <c r="AD3" s="98"/>
      <c r="AE3" s="98"/>
      <c r="AF3" s="98"/>
      <c r="AG3" s="98"/>
    </row>
    <row r="4" spans="1:33" ht="1.5" customHeight="1">
      <c r="A4" s="65"/>
      <c r="B4" s="65"/>
      <c r="C4" s="65"/>
      <c r="D4" s="65"/>
      <c r="E4" s="65"/>
      <c r="F4" s="78"/>
      <c r="G4" s="97"/>
      <c r="H4" s="98"/>
      <c r="I4" s="98"/>
      <c r="J4" s="98"/>
      <c r="K4" s="98"/>
      <c r="L4" s="98"/>
      <c r="M4" s="98"/>
      <c r="N4" s="98"/>
      <c r="O4" s="98"/>
      <c r="P4" s="98"/>
      <c r="Q4" s="98"/>
      <c r="R4" s="98"/>
      <c r="S4" s="98"/>
      <c r="T4" s="98"/>
      <c r="U4" s="98"/>
      <c r="V4" s="98"/>
      <c r="W4" s="98"/>
      <c r="X4" s="98"/>
      <c r="Y4" s="98"/>
      <c r="Z4" s="98"/>
      <c r="AA4" s="98"/>
      <c r="AB4" s="98"/>
      <c r="AC4" s="98"/>
      <c r="AD4" s="98"/>
      <c r="AE4" s="98"/>
      <c r="AF4" s="98"/>
      <c r="AG4" s="98"/>
    </row>
    <row r="5" spans="1:33" ht="3.75" customHeight="1">
      <c r="A5" s="4"/>
      <c r="B5" s="4"/>
      <c r="C5" s="4"/>
      <c r="D5" s="4"/>
      <c r="E5" s="23"/>
      <c r="F5" s="79"/>
      <c r="G5" s="98"/>
      <c r="H5" s="98"/>
      <c r="I5" s="98"/>
      <c r="J5" s="98"/>
      <c r="K5" s="98"/>
      <c r="L5" s="98"/>
      <c r="M5" s="98"/>
      <c r="N5" s="98"/>
      <c r="O5" s="98"/>
      <c r="P5" s="98"/>
      <c r="Q5" s="98"/>
      <c r="R5" s="98"/>
      <c r="S5" s="98"/>
      <c r="T5" s="98"/>
      <c r="U5" s="98"/>
      <c r="V5" s="98"/>
      <c r="W5" s="98"/>
      <c r="X5" s="98"/>
      <c r="Y5" s="98"/>
      <c r="Z5" s="98"/>
      <c r="AA5" s="98"/>
      <c r="AB5" s="98"/>
      <c r="AC5" s="98"/>
      <c r="AD5" s="98"/>
      <c r="AE5" s="98"/>
      <c r="AF5" s="98"/>
      <c r="AG5" s="98"/>
    </row>
    <row r="6" spans="1:33" ht="40.950000000000003" customHeight="1">
      <c r="A6" s="4"/>
      <c r="B6" s="4"/>
      <c r="C6" s="5"/>
      <c r="D6" s="5"/>
      <c r="E6" s="23"/>
      <c r="F6" s="79"/>
      <c r="G6" s="98"/>
      <c r="H6" s="98"/>
      <c r="I6" s="98"/>
      <c r="J6" s="98"/>
      <c r="K6" s="98"/>
      <c r="L6" s="98"/>
      <c r="M6" s="98"/>
      <c r="N6" s="98"/>
      <c r="O6" s="98"/>
      <c r="P6" s="98"/>
      <c r="Q6" s="98"/>
      <c r="R6" s="98"/>
      <c r="S6" s="98"/>
      <c r="T6" s="98"/>
      <c r="U6" s="98"/>
      <c r="V6" s="98"/>
      <c r="W6" s="98"/>
      <c r="X6" s="98"/>
      <c r="Y6" s="98"/>
      <c r="Z6" s="98"/>
      <c r="AA6" s="98"/>
      <c r="AB6" s="98"/>
      <c r="AC6" s="98"/>
      <c r="AD6" s="98"/>
      <c r="AE6" s="98"/>
      <c r="AF6" s="98"/>
      <c r="AG6" s="98"/>
    </row>
    <row r="7" spans="1:33" ht="22.8">
      <c r="A7" s="4"/>
      <c r="B7" s="4"/>
      <c r="C7" s="5"/>
      <c r="D7" s="5"/>
      <c r="E7" s="23"/>
      <c r="F7" s="79"/>
      <c r="G7" s="98"/>
      <c r="H7" s="98"/>
      <c r="I7" s="98"/>
      <c r="J7" s="98"/>
      <c r="K7" s="98"/>
      <c r="L7" s="98"/>
      <c r="M7" s="98"/>
      <c r="N7" s="99"/>
      <c r="O7" s="99"/>
      <c r="P7" s="99"/>
      <c r="Q7" s="99"/>
      <c r="R7" s="99"/>
      <c r="S7" s="98"/>
      <c r="T7" s="98"/>
      <c r="U7" s="98"/>
      <c r="V7" s="98"/>
      <c r="W7" s="98"/>
      <c r="X7" s="98"/>
      <c r="Y7" s="98"/>
      <c r="Z7" s="98"/>
      <c r="AA7" s="98"/>
      <c r="AB7" s="98"/>
      <c r="AC7" s="98"/>
      <c r="AD7" s="98"/>
      <c r="AE7" s="98"/>
      <c r="AF7" s="98"/>
      <c r="AG7" s="98"/>
    </row>
    <row r="8" spans="1:33" ht="43.5" customHeight="1">
      <c r="A8" s="41" t="s">
        <v>65</v>
      </c>
      <c r="B8" s="53" t="s">
        <v>66</v>
      </c>
      <c r="C8" s="5"/>
      <c r="D8" s="5"/>
      <c r="E8" s="23"/>
      <c r="F8" s="79"/>
      <c r="G8" s="98"/>
      <c r="H8" s="98"/>
      <c r="I8" s="98"/>
      <c r="J8" s="98"/>
      <c r="K8" s="98"/>
      <c r="L8" s="98"/>
      <c r="M8" s="98"/>
      <c r="N8" s="99"/>
      <c r="O8" s="99"/>
      <c r="P8" s="99"/>
      <c r="Q8" s="99"/>
      <c r="R8" s="99"/>
      <c r="S8" s="98"/>
      <c r="T8" s="98"/>
      <c r="U8" s="98"/>
      <c r="V8" s="98"/>
      <c r="W8" s="98"/>
      <c r="X8" s="98"/>
      <c r="Y8" s="98"/>
      <c r="Z8" s="98"/>
      <c r="AA8" s="98"/>
      <c r="AB8" s="98"/>
      <c r="AC8" s="98"/>
      <c r="AD8" s="98"/>
      <c r="AE8" s="98"/>
      <c r="AF8" s="98"/>
      <c r="AG8" s="98"/>
    </row>
    <row r="9" spans="1:33" ht="51.75" customHeight="1">
      <c r="A9" s="30" t="s">
        <v>67</v>
      </c>
      <c r="B9" s="40" t="s">
        <v>91</v>
      </c>
      <c r="C9" s="5"/>
      <c r="D9" s="5"/>
      <c r="E9" s="23"/>
      <c r="F9" s="79"/>
      <c r="G9" s="98"/>
      <c r="H9" s="98"/>
      <c r="I9" s="98"/>
      <c r="J9" s="98"/>
      <c r="K9" s="98"/>
      <c r="L9" s="98"/>
      <c r="M9" s="98"/>
      <c r="N9" s="99"/>
      <c r="O9" s="99"/>
      <c r="P9" s="99"/>
      <c r="Q9" s="99"/>
      <c r="R9" s="99"/>
      <c r="S9" s="98"/>
      <c r="T9" s="98"/>
      <c r="U9" s="98"/>
      <c r="V9" s="98"/>
      <c r="W9" s="98"/>
      <c r="X9" s="98"/>
      <c r="Y9" s="98"/>
      <c r="Z9" s="98"/>
      <c r="AA9" s="98"/>
      <c r="AB9" s="98"/>
      <c r="AC9" s="98"/>
      <c r="AD9" s="98"/>
      <c r="AE9" s="98"/>
      <c r="AF9" s="98"/>
      <c r="AG9" s="98"/>
    </row>
    <row r="10" spans="1:33" ht="39" customHeight="1">
      <c r="A10" s="4"/>
      <c r="B10" s="4"/>
      <c r="C10" s="4"/>
      <c r="D10" s="4"/>
      <c r="E10" s="23"/>
      <c r="F10" s="79"/>
      <c r="G10" s="98"/>
      <c r="H10" s="98"/>
      <c r="I10" s="98"/>
      <c r="J10" s="98"/>
      <c r="K10" s="98"/>
      <c r="L10" s="81"/>
      <c r="M10" s="81"/>
      <c r="N10" s="7" t="s">
        <v>69</v>
      </c>
      <c r="O10" s="7">
        <f>COUNTIF(A:G,"نجح")</f>
        <v>0</v>
      </c>
      <c r="P10" s="99"/>
      <c r="Q10" s="99"/>
      <c r="R10" s="99"/>
      <c r="S10" s="98"/>
      <c r="T10" s="98"/>
      <c r="U10" s="98"/>
      <c r="V10" s="98"/>
      <c r="W10" s="98"/>
      <c r="X10" s="98"/>
      <c r="Y10" s="98"/>
      <c r="Z10" s="98"/>
      <c r="AA10" s="98"/>
      <c r="AB10" s="98"/>
      <c r="AC10" s="98"/>
      <c r="AD10" s="98"/>
      <c r="AE10" s="98"/>
      <c r="AF10" s="98"/>
      <c r="AG10" s="98"/>
    </row>
    <row r="11" spans="1:33" ht="48" customHeight="1">
      <c r="A11" s="4"/>
      <c r="B11" s="4"/>
      <c r="C11" s="4"/>
      <c r="D11" s="4"/>
      <c r="E11" s="23"/>
      <c r="F11" s="79"/>
      <c r="G11" s="98"/>
      <c r="H11" s="98"/>
      <c r="I11" s="98"/>
      <c r="J11" s="98"/>
      <c r="K11" s="98"/>
      <c r="L11" s="81"/>
      <c r="M11" s="81"/>
      <c r="N11" s="7"/>
      <c r="O11" s="7"/>
      <c r="P11" s="99"/>
      <c r="Q11" s="99"/>
      <c r="R11" s="99"/>
      <c r="S11" s="98"/>
      <c r="T11" s="98"/>
      <c r="U11" s="98"/>
      <c r="V11" s="98"/>
      <c r="W11" s="98"/>
      <c r="X11" s="98"/>
      <c r="Y11" s="98"/>
      <c r="Z11" s="98"/>
      <c r="AA11" s="98"/>
      <c r="AB11" s="98"/>
      <c r="AC11" s="98"/>
      <c r="AD11" s="98"/>
      <c r="AE11" s="98"/>
      <c r="AF11" s="98"/>
      <c r="AG11" s="98"/>
    </row>
    <row r="12" spans="1:33" ht="68.25" customHeight="1">
      <c r="A12" s="4"/>
      <c r="B12" s="4"/>
      <c r="C12" s="4"/>
      <c r="D12" s="4"/>
      <c r="E12" s="23"/>
      <c r="F12" s="79"/>
      <c r="G12" s="98"/>
      <c r="H12" s="98"/>
      <c r="I12" s="98"/>
      <c r="J12" s="98"/>
      <c r="K12" s="98"/>
      <c r="L12" s="81"/>
      <c r="M12" s="81"/>
      <c r="N12" s="7" t="s">
        <v>70</v>
      </c>
      <c r="O12" s="7">
        <f>COUNTIF(A:G,"فشل")</f>
        <v>0</v>
      </c>
      <c r="P12" s="99"/>
      <c r="Q12" s="99"/>
      <c r="R12" s="99"/>
      <c r="S12" s="98"/>
      <c r="T12" s="98"/>
      <c r="U12" s="98"/>
      <c r="V12" s="98"/>
      <c r="W12" s="98"/>
      <c r="X12" s="98"/>
      <c r="Y12" s="98"/>
      <c r="Z12" s="98"/>
      <c r="AA12" s="98"/>
      <c r="AB12" s="98"/>
      <c r="AC12" s="98"/>
      <c r="AD12" s="98"/>
      <c r="AE12" s="98"/>
      <c r="AF12" s="98"/>
      <c r="AG12" s="98"/>
    </row>
    <row r="13" spans="1:33" ht="25.2" customHeight="1">
      <c r="A13" s="4"/>
      <c r="B13" s="4"/>
      <c r="C13" s="4"/>
      <c r="D13" s="4"/>
      <c r="E13" s="23"/>
      <c r="F13" s="79"/>
      <c r="G13" s="98"/>
      <c r="H13" s="98"/>
      <c r="I13" s="98"/>
      <c r="J13" s="98"/>
      <c r="K13" s="98"/>
      <c r="L13" s="81"/>
      <c r="M13" s="81"/>
      <c r="N13" s="81"/>
      <c r="O13" s="7"/>
      <c r="P13" s="99"/>
      <c r="Q13" s="99"/>
      <c r="R13" s="99"/>
      <c r="S13" s="98"/>
      <c r="T13" s="98"/>
      <c r="U13" s="98"/>
      <c r="V13" s="98"/>
      <c r="W13" s="98"/>
      <c r="X13" s="98"/>
      <c r="Y13" s="98"/>
      <c r="Z13" s="98"/>
      <c r="AA13" s="98"/>
      <c r="AB13" s="98"/>
      <c r="AC13" s="98"/>
      <c r="AD13" s="98"/>
      <c r="AE13" s="98"/>
      <c r="AF13" s="98"/>
      <c r="AG13" s="98"/>
    </row>
    <row r="14" spans="1:33" ht="22.2" customHeight="1">
      <c r="A14" s="4"/>
      <c r="B14" s="4"/>
      <c r="C14" s="4"/>
      <c r="D14" s="4"/>
      <c r="E14" s="23"/>
      <c r="F14" s="4"/>
      <c r="G14" s="98"/>
      <c r="H14" s="98"/>
      <c r="I14" s="98"/>
      <c r="J14" s="98"/>
      <c r="K14" s="98"/>
      <c r="L14" s="81"/>
      <c r="M14" s="81"/>
      <c r="N14" s="81"/>
      <c r="O14" s="7"/>
      <c r="P14" s="99"/>
      <c r="Q14" s="99"/>
      <c r="R14" s="99"/>
      <c r="S14" s="98"/>
      <c r="T14" s="98"/>
      <c r="U14" s="98"/>
      <c r="V14" s="98"/>
      <c r="W14" s="98"/>
      <c r="X14" s="98"/>
      <c r="Y14" s="98"/>
      <c r="Z14" s="98"/>
      <c r="AA14" s="98"/>
      <c r="AB14" s="98"/>
      <c r="AC14" s="98"/>
      <c r="AD14" s="98"/>
      <c r="AE14" s="98"/>
      <c r="AF14" s="98"/>
      <c r="AG14" s="98"/>
    </row>
    <row r="15" spans="1:33" ht="13.2">
      <c r="A15" s="4"/>
      <c r="B15" s="4"/>
      <c r="C15" s="4"/>
      <c r="D15" s="4"/>
      <c r="E15" s="23"/>
      <c r="F15" s="4"/>
      <c r="G15" s="4"/>
      <c r="H15" s="51"/>
      <c r="I15" s="51"/>
      <c r="J15" s="51"/>
      <c r="K15" s="51"/>
      <c r="L15" s="81"/>
      <c r="M15" s="81"/>
      <c r="N15" s="81"/>
      <c r="O15" s="7"/>
      <c r="P15" s="7"/>
      <c r="Q15" s="6"/>
      <c r="R15" s="6"/>
    </row>
    <row r="16" spans="1:33" s="8" customFormat="1" ht="34.799999999999997">
      <c r="A16" s="42" t="s">
        <v>71</v>
      </c>
      <c r="B16" s="16" t="s">
        <v>72</v>
      </c>
      <c r="C16" s="16" t="s">
        <v>73</v>
      </c>
      <c r="D16" s="16" t="s">
        <v>74</v>
      </c>
      <c r="E16" s="16" t="s">
        <v>75</v>
      </c>
      <c r="F16" s="16" t="s">
        <v>76</v>
      </c>
      <c r="G16" s="16" t="s">
        <v>77</v>
      </c>
      <c r="H16" s="52"/>
      <c r="I16" s="52"/>
      <c r="J16" s="52"/>
      <c r="K16" s="52"/>
      <c r="L16" s="82"/>
      <c r="M16" s="82"/>
      <c r="N16" s="82"/>
      <c r="O16" s="82"/>
    </row>
    <row r="17" spans="1:15" ht="156.75" customHeight="1">
      <c r="A17" s="83">
        <v>1</v>
      </c>
      <c r="B17" s="9" t="s">
        <v>82</v>
      </c>
      <c r="C17" s="9" t="s">
        <v>92</v>
      </c>
      <c r="D17" s="35" t="s">
        <v>93</v>
      </c>
      <c r="E17" s="9" t="s">
        <v>94</v>
      </c>
      <c r="F17" s="9"/>
      <c r="G17" s="12"/>
      <c r="H17" s="51"/>
      <c r="I17" s="51"/>
      <c r="J17" s="51"/>
      <c r="K17" s="51"/>
      <c r="L17" s="81"/>
      <c r="M17" s="81"/>
      <c r="N17" s="81"/>
      <c r="O17" s="81"/>
    </row>
    <row r="18" spans="1:15" ht="61.2">
      <c r="A18" s="83">
        <v>2</v>
      </c>
      <c r="B18" s="9" t="s">
        <v>82</v>
      </c>
      <c r="C18" s="33" t="s">
        <v>95</v>
      </c>
      <c r="D18" s="20" t="s">
        <v>96</v>
      </c>
      <c r="E18" s="9" t="s">
        <v>97</v>
      </c>
      <c r="F18" s="10"/>
      <c r="G18" s="12"/>
    </row>
    <row r="19" spans="1:15" ht="228.75" customHeight="1">
      <c r="A19" s="83">
        <v>3</v>
      </c>
      <c r="B19" s="9" t="s">
        <v>98</v>
      </c>
      <c r="C19" s="33" t="s">
        <v>99</v>
      </c>
      <c r="D19" s="10" t="s">
        <v>100</v>
      </c>
      <c r="E19" s="9" t="s">
        <v>101</v>
      </c>
      <c r="F19" s="10"/>
      <c r="G19" s="14"/>
    </row>
    <row r="20" spans="1:15" ht="253.5" customHeight="1">
      <c r="A20" s="83">
        <v>4</v>
      </c>
      <c r="B20" s="66" t="s">
        <v>82</v>
      </c>
      <c r="C20" s="9" t="s">
        <v>102</v>
      </c>
      <c r="D20" s="88" t="s">
        <v>103</v>
      </c>
      <c r="E20" s="19" t="s">
        <v>104</v>
      </c>
      <c r="F20" s="10"/>
      <c r="G20" s="12"/>
    </row>
    <row r="21" spans="1:15" ht="61.2">
      <c r="A21" s="83">
        <v>5</v>
      </c>
      <c r="B21" s="66" t="s">
        <v>82</v>
      </c>
      <c r="C21" s="9" t="s">
        <v>105</v>
      </c>
      <c r="D21" s="31" t="s">
        <v>106</v>
      </c>
      <c r="E21" s="19" t="s">
        <v>107</v>
      </c>
      <c r="F21" s="13"/>
      <c r="G21" s="12"/>
    </row>
    <row r="22" spans="1:15" ht="113.25" customHeight="1">
      <c r="A22" s="83">
        <v>6</v>
      </c>
      <c r="B22" s="32" t="s">
        <v>82</v>
      </c>
      <c r="C22" s="33" t="s">
        <v>108</v>
      </c>
      <c r="D22" s="31" t="s">
        <v>109</v>
      </c>
      <c r="E22" s="9" t="s">
        <v>110</v>
      </c>
      <c r="F22" s="10"/>
      <c r="G22" s="14"/>
    </row>
    <row r="23" spans="1:15" ht="113.25" customHeight="1">
      <c r="A23" s="83">
        <v>7</v>
      </c>
      <c r="B23" s="9" t="s">
        <v>82</v>
      </c>
      <c r="C23" s="33" t="s">
        <v>111</v>
      </c>
      <c r="D23" s="84" t="s">
        <v>112</v>
      </c>
      <c r="E23" s="9" t="s">
        <v>113</v>
      </c>
      <c r="F23" s="10"/>
      <c r="G23" s="14"/>
    </row>
    <row r="24" spans="1:15" ht="113.25" customHeight="1">
      <c r="A24" s="83">
        <v>8</v>
      </c>
      <c r="B24" s="9" t="s">
        <v>82</v>
      </c>
      <c r="C24" s="9" t="s">
        <v>114</v>
      </c>
      <c r="D24" s="10" t="s">
        <v>115</v>
      </c>
      <c r="E24" s="9" t="s">
        <v>116</v>
      </c>
      <c r="F24" s="10"/>
      <c r="G24" s="12"/>
    </row>
    <row r="25" spans="1:15" ht="113.25" customHeight="1">
      <c r="A25" s="83">
        <v>9</v>
      </c>
      <c r="B25" s="32" t="s">
        <v>82</v>
      </c>
      <c r="C25" s="33" t="s">
        <v>117</v>
      </c>
      <c r="D25" s="10" t="s">
        <v>118</v>
      </c>
      <c r="E25" s="9" t="s">
        <v>116</v>
      </c>
      <c r="F25" s="10"/>
      <c r="G25" s="14"/>
    </row>
    <row r="26" spans="1:15" ht="108.75" customHeight="1">
      <c r="A26" s="83">
        <v>10</v>
      </c>
      <c r="B26" s="32" t="s">
        <v>82</v>
      </c>
      <c r="C26" s="33" t="s">
        <v>119</v>
      </c>
      <c r="D26" s="10" t="s">
        <v>120</v>
      </c>
      <c r="E26" s="9" t="s">
        <v>121</v>
      </c>
      <c r="F26" s="10"/>
      <c r="G26" s="12"/>
    </row>
    <row r="27" spans="1:15" ht="249" customHeight="1">
      <c r="A27" s="83">
        <v>11</v>
      </c>
      <c r="B27" s="32" t="s">
        <v>82</v>
      </c>
      <c r="C27" s="33" t="s">
        <v>122</v>
      </c>
      <c r="D27" s="94" t="s">
        <v>123</v>
      </c>
      <c r="E27" s="9" t="s">
        <v>124</v>
      </c>
      <c r="F27" s="10"/>
      <c r="G27" s="12"/>
    </row>
    <row r="28" spans="1:15" ht="138.75" customHeight="1">
      <c r="A28" s="83">
        <v>12</v>
      </c>
      <c r="B28" s="32" t="s">
        <v>82</v>
      </c>
      <c r="C28" s="33" t="s">
        <v>125</v>
      </c>
      <c r="D28" s="89" t="s">
        <v>126</v>
      </c>
      <c r="E28" s="9" t="s">
        <v>127</v>
      </c>
      <c r="F28" s="10"/>
      <c r="G28" s="12"/>
      <c r="K28" t="s">
        <v>128</v>
      </c>
    </row>
    <row r="29" spans="1:15" ht="138.75" customHeight="1">
      <c r="A29" s="83">
        <v>13</v>
      </c>
      <c r="B29" s="32" t="s">
        <v>82</v>
      </c>
      <c r="C29" s="33" t="s">
        <v>129</v>
      </c>
      <c r="D29" s="10" t="s">
        <v>130</v>
      </c>
      <c r="E29" s="9" t="s">
        <v>131</v>
      </c>
      <c r="F29" s="10"/>
      <c r="G29" s="14"/>
    </row>
    <row r="30" spans="1:15" ht="127.5" customHeight="1">
      <c r="A30" s="83">
        <v>14</v>
      </c>
      <c r="B30" s="32" t="s">
        <v>82</v>
      </c>
      <c r="C30" s="33" t="s">
        <v>132</v>
      </c>
      <c r="D30" s="10" t="s">
        <v>133</v>
      </c>
      <c r="E30" s="9" t="s">
        <v>134</v>
      </c>
      <c r="F30" s="10"/>
      <c r="G30" s="12"/>
    </row>
    <row r="31" spans="1:15" ht="121.5" customHeight="1">
      <c r="A31" s="83">
        <v>15</v>
      </c>
      <c r="B31" s="9" t="s">
        <v>82</v>
      </c>
      <c r="C31" s="69" t="s">
        <v>135</v>
      </c>
      <c r="D31" s="20" t="s">
        <v>136</v>
      </c>
      <c r="E31" s="46" t="s">
        <v>137</v>
      </c>
      <c r="F31" s="10"/>
      <c r="G31" s="12"/>
    </row>
    <row r="32" spans="1:15" ht="30">
      <c r="E32" s="24"/>
      <c r="G32" s="1"/>
    </row>
    <row r="33" spans="5:7" ht="30">
      <c r="E33" s="24"/>
      <c r="G33" s="1"/>
    </row>
    <row r="34" spans="5:7" ht="49.2" customHeight="1">
      <c r="E34" s="24"/>
      <c r="G34" s="1"/>
    </row>
    <row r="35" spans="5:7" ht="30">
      <c r="E35" s="24"/>
      <c r="G35" s="1"/>
    </row>
    <row r="36" spans="5:7" ht="30">
      <c r="E36" s="24"/>
      <c r="G36" s="1"/>
    </row>
    <row r="37" spans="5:7" ht="30">
      <c r="E37" s="24"/>
      <c r="G37" s="1"/>
    </row>
    <row r="38" spans="5:7" ht="30">
      <c r="E38" s="24"/>
      <c r="G38" s="1"/>
    </row>
    <row r="39" spans="5:7" ht="30">
      <c r="E39" s="24"/>
      <c r="G39" s="1"/>
    </row>
    <row r="40" spans="5:7" ht="30">
      <c r="E40" s="24"/>
      <c r="G40" s="1"/>
    </row>
    <row r="41" spans="5:7" ht="30">
      <c r="E41" s="24"/>
      <c r="G41" s="1"/>
    </row>
    <row r="42" spans="5:7" ht="42.6" customHeight="1">
      <c r="E42" s="24"/>
      <c r="G42" s="1"/>
    </row>
    <row r="43" spans="5:7" ht="30">
      <c r="E43" s="24"/>
      <c r="G43" s="1"/>
    </row>
    <row r="44" spans="5:7" ht="34.200000000000003" customHeight="1">
      <c r="E44" s="24"/>
      <c r="G44" s="1"/>
    </row>
    <row r="45" spans="5:7" ht="45.6" customHeight="1">
      <c r="E45" s="24"/>
      <c r="G45" s="1"/>
    </row>
    <row r="46" spans="5:7" ht="40.950000000000003" customHeight="1">
      <c r="E46" s="24"/>
      <c r="G46" s="1"/>
    </row>
    <row r="47" spans="5:7" ht="42.6" customHeight="1">
      <c r="E47" s="24"/>
      <c r="G47" s="1"/>
    </row>
    <row r="48" spans="5:7" ht="30">
      <c r="E48" s="24"/>
      <c r="G48" s="1"/>
    </row>
    <row r="49" spans="5:7" ht="46.95" customHeight="1">
      <c r="E49" s="24"/>
      <c r="G49" s="1"/>
    </row>
    <row r="50" spans="5:7" ht="43.95" customHeight="1">
      <c r="E50" s="24"/>
      <c r="G50" s="1"/>
    </row>
    <row r="51" spans="5:7" ht="52.95" customHeight="1">
      <c r="E51" s="24"/>
      <c r="G51" s="1"/>
    </row>
    <row r="52" spans="5:7" ht="30">
      <c r="E52" s="24"/>
      <c r="G52" s="1"/>
    </row>
    <row r="53" spans="5:7" ht="30">
      <c r="E53" s="24"/>
      <c r="G53" s="1"/>
    </row>
    <row r="54" spans="5:7" ht="30">
      <c r="E54" s="24"/>
      <c r="G54" s="1"/>
    </row>
    <row r="55" spans="5:7" ht="51" customHeight="1">
      <c r="E55" s="24"/>
      <c r="G55" s="1"/>
    </row>
    <row r="56" spans="5:7" ht="37.950000000000003" customHeight="1">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row r="897" spans="5:7" ht="30">
      <c r="E897" s="24"/>
      <c r="G897" s="1"/>
    </row>
    <row r="898" spans="5:7" ht="30">
      <c r="E898" s="24"/>
      <c r="G898" s="1"/>
    </row>
    <row r="899" spans="5:7" ht="30">
      <c r="E899" s="24"/>
      <c r="G899" s="1"/>
    </row>
    <row r="900" spans="5:7" ht="30">
      <c r="E900" s="24"/>
      <c r="G900" s="1"/>
    </row>
    <row r="901" spans="5:7" ht="30">
      <c r="E901" s="24"/>
      <c r="G901" s="1"/>
    </row>
    <row r="902" spans="5:7" ht="30">
      <c r="E902" s="24"/>
      <c r="G902" s="1"/>
    </row>
    <row r="903" spans="5:7" ht="30">
      <c r="E903" s="24"/>
      <c r="G903" s="1"/>
    </row>
    <row r="904" spans="5:7" ht="30">
      <c r="E904" s="24"/>
      <c r="G904" s="1"/>
    </row>
    <row r="905" spans="5:7" ht="30">
      <c r="E905" s="24"/>
      <c r="G905" s="1"/>
    </row>
    <row r="906" spans="5:7" ht="15.75" customHeight="1">
      <c r="E906" s="24"/>
      <c r="G906" s="1"/>
    </row>
    <row r="907" spans="5:7" ht="15.75" customHeight="1">
      <c r="E907" s="24"/>
      <c r="G907" s="1"/>
    </row>
    <row r="908" spans="5:7" ht="15.75" customHeight="1">
      <c r="E908" s="24"/>
      <c r="G908" s="1"/>
    </row>
    <row r="909" spans="5:7" ht="15.75" customHeight="1">
      <c r="E909" s="24"/>
      <c r="G909" s="1"/>
    </row>
    <row r="910" spans="5:7" ht="15.75" customHeight="1">
      <c r="E910" s="24"/>
      <c r="G910" s="1"/>
    </row>
  </sheetData>
  <conditionalFormatting sqref="E31:E910">
    <cfRule type="containsText" dxfId="19" priority="5" operator="containsText" text="نجح">
      <formula>NOT(ISERROR(SEARCH(("نجح"),(E31))))</formula>
    </cfRule>
    <cfRule type="containsText" dxfId="18" priority="6" operator="containsText" text="فشل">
      <formula>NOT(ISERROR(SEARCH(("فشل"),(E31))))</formula>
    </cfRule>
  </conditionalFormatting>
  <dataValidations count="2">
    <dataValidation showDropDown="1" showInputMessage="1" showErrorMessage="1" sqref="C6:D6" xr:uid="{E4FADEFD-1BD0-4435-B224-FF608ABC1E5A}"/>
    <dataValidation type="list" allowBlank="1" showInputMessage="1" showErrorMessage="1" sqref="N10:N12 G17:G31" xr:uid="{165320A6-1C18-4541-BDEA-F223CAB10DC9}">
      <formula1>$N$10:$N$12</formula1>
    </dataValidation>
  </dataValidations>
  <pageMargins left="0.7" right="0.7" top="0.75" bottom="0.75" header="0.3" footer="0.3"/>
  <pageSetup paperSize="9" orientation="portrait"/>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6167-A159-48EE-A39D-F870058A7492}">
  <sheetPr>
    <outlinePr summaryBelow="0" summaryRight="0"/>
  </sheetPr>
  <dimension ref="A1:AS907"/>
  <sheetViews>
    <sheetView rightToLeft="1" zoomScale="58" zoomScaleNormal="100" workbookViewId="0">
      <selection activeCell="A17" sqref="A17:A29"/>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14" width="9.109375"/>
    <col min="15" max="15" width="14" customWidth="1"/>
    <col min="16" max="16" width="19.88671875" customWidth="1"/>
  </cols>
  <sheetData>
    <row r="1" spans="1:45" ht="36.6" customHeight="1">
      <c r="A1" s="140"/>
      <c r="B1" s="140"/>
      <c r="C1" s="140"/>
      <c r="D1" s="140"/>
      <c r="E1" s="140"/>
      <c r="F1" s="140"/>
      <c r="G1" s="140"/>
    </row>
    <row r="2" spans="1:45" ht="40.200000000000003" customHeight="1">
      <c r="A2" s="140"/>
      <c r="B2" s="140"/>
      <c r="C2" s="140"/>
      <c r="D2" s="140"/>
      <c r="E2" s="140"/>
      <c r="F2" s="140"/>
      <c r="G2" s="140"/>
    </row>
    <row r="3" spans="1:45" ht="29.25" customHeight="1">
      <c r="A3" s="140"/>
      <c r="B3" s="140"/>
      <c r="C3" s="140"/>
      <c r="D3" s="140"/>
      <c r="E3" s="140"/>
      <c r="F3" s="140"/>
      <c r="G3" s="140"/>
    </row>
    <row r="4" spans="1:45" ht="39.6" hidden="1" customHeight="1">
      <c r="A4" s="65"/>
      <c r="B4" s="65"/>
      <c r="C4" s="65"/>
      <c r="D4" s="65"/>
      <c r="E4" s="65"/>
      <c r="F4" s="65"/>
      <c r="G4" s="65"/>
    </row>
    <row r="5" spans="1:45" ht="1.2" hidden="1" customHeight="1">
      <c r="A5" s="4"/>
      <c r="B5" s="4"/>
      <c r="C5" s="4"/>
      <c r="D5" s="4"/>
      <c r="E5" s="23"/>
      <c r="F5" s="4"/>
      <c r="G5" s="4"/>
    </row>
    <row r="6" spans="1:45" ht="40.950000000000003" customHeight="1">
      <c r="A6" s="4"/>
      <c r="B6" s="4"/>
      <c r="C6" s="5"/>
      <c r="D6" s="5"/>
      <c r="E6" s="23"/>
      <c r="F6" s="100"/>
      <c r="G6" s="100"/>
      <c r="H6" s="98"/>
      <c r="I6" s="98"/>
      <c r="J6" s="98"/>
      <c r="K6" s="98"/>
      <c r="L6" s="98"/>
      <c r="M6" s="98"/>
      <c r="N6" s="98"/>
      <c r="O6" s="98"/>
      <c r="P6" s="98"/>
      <c r="Q6" s="98"/>
      <c r="R6" s="98"/>
      <c r="S6" s="98"/>
      <c r="T6" s="98"/>
      <c r="U6" s="98"/>
      <c r="V6" s="98"/>
      <c r="W6" s="98"/>
      <c r="X6" s="98"/>
      <c r="Y6" s="98"/>
      <c r="Z6" s="98"/>
      <c r="AA6" s="98"/>
      <c r="AB6" s="51"/>
      <c r="AC6" s="51"/>
      <c r="AD6" s="51"/>
      <c r="AE6" s="51"/>
      <c r="AF6" s="51"/>
      <c r="AG6" s="51"/>
      <c r="AH6" s="51"/>
      <c r="AI6" s="51"/>
      <c r="AJ6" s="51"/>
      <c r="AK6" s="51"/>
      <c r="AL6" s="51"/>
      <c r="AM6" s="51"/>
      <c r="AN6" s="51"/>
      <c r="AO6" s="51"/>
      <c r="AP6" s="51"/>
      <c r="AQ6" s="51"/>
      <c r="AR6" s="51"/>
      <c r="AS6" s="51"/>
    </row>
    <row r="7" spans="1:45" ht="22.8">
      <c r="A7" s="4"/>
      <c r="B7" s="4"/>
      <c r="C7" s="5"/>
      <c r="D7" s="5"/>
      <c r="E7" s="23"/>
      <c r="F7" s="100"/>
      <c r="G7" s="100"/>
      <c r="H7" s="98"/>
      <c r="I7" s="98"/>
      <c r="J7" s="98"/>
      <c r="K7" s="98"/>
      <c r="L7" s="98"/>
      <c r="M7" s="98"/>
      <c r="N7" s="99"/>
      <c r="O7" s="99"/>
      <c r="P7" s="99"/>
      <c r="Q7" s="99"/>
      <c r="R7" s="99"/>
      <c r="S7" s="98"/>
      <c r="T7" s="98"/>
      <c r="U7" s="98"/>
      <c r="V7" s="98"/>
      <c r="W7" s="98"/>
      <c r="X7" s="98"/>
      <c r="Y7" s="98"/>
      <c r="Z7" s="98"/>
      <c r="AA7" s="98"/>
      <c r="AB7" s="51"/>
      <c r="AC7" s="51"/>
      <c r="AD7" s="51"/>
      <c r="AE7" s="51"/>
      <c r="AF7" s="51"/>
      <c r="AG7" s="51"/>
      <c r="AH7" s="51"/>
      <c r="AI7" s="51"/>
      <c r="AJ7" s="51"/>
      <c r="AK7" s="51"/>
      <c r="AL7" s="51"/>
      <c r="AM7" s="51"/>
      <c r="AN7" s="51"/>
      <c r="AO7" s="51"/>
      <c r="AP7" s="51"/>
      <c r="AQ7" s="51"/>
      <c r="AR7" s="51"/>
      <c r="AS7" s="51"/>
    </row>
    <row r="8" spans="1:45" ht="22.8">
      <c r="A8" s="41" t="s">
        <v>65</v>
      </c>
      <c r="B8" s="53" t="s">
        <v>66</v>
      </c>
      <c r="C8" s="5"/>
      <c r="D8" s="5"/>
      <c r="E8" s="23"/>
      <c r="F8" s="100"/>
      <c r="G8" s="100"/>
      <c r="H8" s="98"/>
      <c r="I8" s="98"/>
      <c r="J8" s="98"/>
      <c r="K8" s="98"/>
      <c r="L8" s="98"/>
      <c r="M8" s="98"/>
      <c r="N8" s="99"/>
      <c r="O8" s="99"/>
      <c r="P8" s="99"/>
      <c r="Q8" s="99"/>
      <c r="R8" s="99"/>
      <c r="S8" s="98"/>
      <c r="T8" s="98"/>
      <c r="U8" s="98"/>
      <c r="V8" s="98"/>
      <c r="W8" s="98"/>
      <c r="X8" s="98"/>
      <c r="Y8" s="98"/>
      <c r="Z8" s="98"/>
      <c r="AA8" s="98"/>
      <c r="AB8" s="51"/>
      <c r="AC8" s="51"/>
      <c r="AD8" s="51"/>
      <c r="AE8" s="51"/>
      <c r="AF8" s="51"/>
      <c r="AG8" s="51"/>
      <c r="AH8" s="51"/>
      <c r="AI8" s="51"/>
      <c r="AJ8" s="51"/>
      <c r="AK8" s="51"/>
      <c r="AL8" s="51"/>
      <c r="AM8" s="51"/>
      <c r="AN8" s="51"/>
      <c r="AO8" s="51"/>
      <c r="AP8" s="51"/>
      <c r="AQ8" s="51"/>
      <c r="AR8" s="51"/>
      <c r="AS8" s="51"/>
    </row>
    <row r="9" spans="1:45" ht="51.75" customHeight="1">
      <c r="A9" s="30" t="s">
        <v>67</v>
      </c>
      <c r="B9" s="40" t="s">
        <v>138</v>
      </c>
      <c r="C9" s="5"/>
      <c r="D9" s="5"/>
      <c r="E9" s="23"/>
      <c r="F9" s="100"/>
      <c r="G9" s="100"/>
      <c r="H9" s="98"/>
      <c r="I9" s="98"/>
      <c r="J9" s="98"/>
      <c r="K9" s="98"/>
      <c r="L9" s="98"/>
      <c r="M9" s="98"/>
      <c r="N9" s="99"/>
      <c r="O9" s="99"/>
      <c r="P9" s="99"/>
      <c r="Q9" s="99"/>
      <c r="R9" s="99"/>
      <c r="S9" s="98"/>
      <c r="T9" s="98"/>
      <c r="U9" s="98"/>
      <c r="V9" s="98"/>
      <c r="W9" s="98"/>
      <c r="X9" s="98"/>
      <c r="Y9" s="98"/>
      <c r="Z9" s="98"/>
      <c r="AA9" s="98"/>
      <c r="AB9" s="51"/>
      <c r="AC9" s="51"/>
      <c r="AD9" s="51"/>
      <c r="AE9" s="51"/>
      <c r="AF9" s="51"/>
      <c r="AG9" s="51"/>
      <c r="AH9" s="51"/>
      <c r="AI9" s="51"/>
      <c r="AJ9" s="51"/>
      <c r="AK9" s="51"/>
      <c r="AL9" s="51"/>
      <c r="AM9" s="51"/>
      <c r="AN9" s="51"/>
      <c r="AO9" s="51"/>
      <c r="AP9" s="51"/>
      <c r="AQ9" s="51"/>
      <c r="AR9" s="51"/>
      <c r="AS9" s="51"/>
    </row>
    <row r="10" spans="1:45" ht="39" customHeight="1">
      <c r="A10" s="4"/>
      <c r="B10" s="4"/>
      <c r="C10" s="4"/>
      <c r="D10" s="4"/>
      <c r="E10" s="23"/>
      <c r="F10" s="100"/>
      <c r="G10" s="100"/>
      <c r="H10" s="98"/>
      <c r="I10" s="98"/>
      <c r="J10" s="98"/>
      <c r="K10" s="98"/>
      <c r="L10" s="98"/>
      <c r="M10" s="81"/>
      <c r="N10" s="7" t="s">
        <v>69</v>
      </c>
      <c r="O10" s="7">
        <f>COUNTIF(A:G,"نجح")</f>
        <v>0</v>
      </c>
      <c r="P10" s="99"/>
      <c r="Q10" s="99"/>
      <c r="R10" s="99"/>
      <c r="S10" s="98"/>
      <c r="T10" s="98"/>
      <c r="U10" s="98"/>
      <c r="V10" s="98"/>
      <c r="W10" s="98"/>
      <c r="X10" s="98"/>
      <c r="Y10" s="98"/>
      <c r="Z10" s="98"/>
      <c r="AA10" s="98"/>
      <c r="AB10" s="51"/>
      <c r="AC10" s="51"/>
      <c r="AD10" s="51"/>
      <c r="AE10" s="51"/>
      <c r="AF10" s="51"/>
      <c r="AG10" s="51"/>
      <c r="AH10" s="51"/>
      <c r="AI10" s="51"/>
      <c r="AJ10" s="51"/>
      <c r="AK10" s="51"/>
      <c r="AL10" s="51"/>
      <c r="AM10" s="51"/>
      <c r="AN10" s="51"/>
      <c r="AO10" s="51"/>
      <c r="AP10" s="51"/>
      <c r="AQ10" s="51"/>
      <c r="AR10" s="51"/>
      <c r="AS10" s="51"/>
    </row>
    <row r="11" spans="1:45" ht="48" customHeight="1">
      <c r="A11" s="4"/>
      <c r="B11" s="4"/>
      <c r="C11" s="4"/>
      <c r="D11" s="4"/>
      <c r="E11" s="23"/>
      <c r="F11" s="100"/>
      <c r="G11" s="100"/>
      <c r="H11" s="98"/>
      <c r="I11" s="98"/>
      <c r="J11" s="98"/>
      <c r="K11" s="98"/>
      <c r="L11" s="98"/>
      <c r="M11" s="81"/>
      <c r="N11" s="7"/>
      <c r="O11" s="7"/>
      <c r="P11" s="99"/>
      <c r="Q11" s="99"/>
      <c r="R11" s="99"/>
      <c r="S11" s="98"/>
      <c r="T11" s="98"/>
      <c r="U11" s="98"/>
      <c r="V11" s="98"/>
      <c r="W11" s="98"/>
      <c r="X11" s="98"/>
      <c r="Y11" s="98"/>
      <c r="Z11" s="98"/>
      <c r="AA11" s="98"/>
      <c r="AB11" s="51"/>
      <c r="AC11" s="51"/>
      <c r="AD11" s="51"/>
      <c r="AE11" s="51"/>
      <c r="AF11" s="51"/>
      <c r="AG11" s="51"/>
      <c r="AH11" s="51"/>
      <c r="AI11" s="51"/>
      <c r="AJ11" s="51"/>
      <c r="AK11" s="51"/>
      <c r="AL11" s="51"/>
      <c r="AM11" s="51"/>
      <c r="AN11" s="51"/>
      <c r="AO11" s="51"/>
      <c r="AP11" s="51"/>
      <c r="AQ11" s="51"/>
      <c r="AR11" s="51"/>
      <c r="AS11" s="51"/>
    </row>
    <row r="12" spans="1:45" ht="68.25" customHeight="1">
      <c r="A12" s="4"/>
      <c r="B12" s="4"/>
      <c r="C12" s="4"/>
      <c r="D12" s="4"/>
      <c r="E12" s="23"/>
      <c r="F12" s="100"/>
      <c r="G12" s="100"/>
      <c r="H12" s="98"/>
      <c r="I12" s="98"/>
      <c r="J12" s="98"/>
      <c r="K12" s="98"/>
      <c r="L12" s="98"/>
      <c r="M12" s="81"/>
      <c r="N12" s="7" t="s">
        <v>70</v>
      </c>
      <c r="O12" s="7">
        <f>COUNTIF(A:G,"فشل")</f>
        <v>0</v>
      </c>
      <c r="P12" s="99"/>
      <c r="Q12" s="99"/>
      <c r="R12" s="99"/>
      <c r="S12" s="98"/>
      <c r="T12" s="98"/>
      <c r="U12" s="98"/>
      <c r="V12" s="98"/>
      <c r="W12" s="98"/>
      <c r="X12" s="98"/>
      <c r="Y12" s="98"/>
      <c r="Z12" s="98"/>
      <c r="AA12" s="98"/>
      <c r="AB12" s="51"/>
      <c r="AC12" s="51"/>
      <c r="AD12" s="51"/>
      <c r="AE12" s="51"/>
      <c r="AF12" s="51"/>
      <c r="AG12" s="51"/>
      <c r="AH12" s="51"/>
      <c r="AI12" s="51"/>
      <c r="AJ12" s="51"/>
      <c r="AK12" s="51"/>
      <c r="AL12" s="51"/>
      <c r="AM12" s="51"/>
      <c r="AN12" s="51"/>
      <c r="AO12" s="51"/>
      <c r="AP12" s="51"/>
      <c r="AQ12" s="51"/>
      <c r="AR12" s="51"/>
      <c r="AS12" s="51"/>
    </row>
    <row r="13" spans="1:45" ht="25.2" customHeight="1">
      <c r="A13" s="4"/>
      <c r="B13" s="4"/>
      <c r="C13" s="4"/>
      <c r="D13" s="4"/>
      <c r="E13" s="23"/>
      <c r="F13" s="100"/>
      <c r="G13" s="100"/>
      <c r="H13" s="98"/>
      <c r="I13" s="98"/>
      <c r="J13" s="98"/>
      <c r="K13" s="98"/>
      <c r="L13" s="98"/>
      <c r="M13" s="98"/>
      <c r="N13" s="98"/>
      <c r="O13" s="99"/>
      <c r="P13" s="99"/>
      <c r="Q13" s="99"/>
      <c r="R13" s="99"/>
      <c r="S13" s="98"/>
      <c r="T13" s="98"/>
      <c r="U13" s="98"/>
      <c r="V13" s="98"/>
      <c r="W13" s="98"/>
      <c r="X13" s="98"/>
      <c r="Y13" s="98"/>
      <c r="Z13" s="98"/>
      <c r="AA13" s="98"/>
      <c r="AB13" s="51"/>
      <c r="AC13" s="51"/>
      <c r="AD13" s="51"/>
      <c r="AE13" s="51"/>
      <c r="AF13" s="51"/>
      <c r="AG13" s="51"/>
      <c r="AH13" s="51"/>
      <c r="AI13" s="51"/>
      <c r="AJ13" s="51"/>
      <c r="AK13" s="51"/>
      <c r="AL13" s="51"/>
      <c r="AM13" s="51"/>
      <c r="AN13" s="51"/>
      <c r="AO13" s="51"/>
      <c r="AP13" s="51"/>
      <c r="AQ13" s="51"/>
      <c r="AR13" s="51"/>
      <c r="AS13" s="51"/>
    </row>
    <row r="14" spans="1:45" ht="22.2" customHeight="1">
      <c r="A14" s="4"/>
      <c r="B14" s="4"/>
      <c r="C14" s="4"/>
      <c r="D14" s="4"/>
      <c r="E14" s="23"/>
      <c r="F14" s="4"/>
      <c r="G14" s="4"/>
      <c r="H14" s="51"/>
      <c r="I14" s="51"/>
      <c r="J14" s="51"/>
      <c r="K14" s="51"/>
      <c r="L14" s="51"/>
      <c r="M14" s="51"/>
      <c r="O14" s="6"/>
      <c r="P14" s="6"/>
      <c r="Q14" s="6"/>
      <c r="R14" s="6"/>
    </row>
    <row r="15" spans="1:45" ht="13.2">
      <c r="A15" s="4"/>
      <c r="B15" s="4"/>
      <c r="C15" s="4"/>
      <c r="D15" s="4"/>
      <c r="E15" s="23"/>
      <c r="F15" s="4"/>
      <c r="G15" s="4"/>
      <c r="H15" s="51"/>
      <c r="I15" s="51"/>
      <c r="J15" s="51"/>
      <c r="K15" s="51"/>
      <c r="L15" s="51"/>
      <c r="M15" s="51"/>
      <c r="O15" s="6"/>
      <c r="P15" s="6"/>
      <c r="Q15" s="6"/>
      <c r="R15" s="6"/>
    </row>
    <row r="16" spans="1:45" s="8" customFormat="1" ht="34.799999999999997">
      <c r="A16" s="42" t="s">
        <v>71</v>
      </c>
      <c r="B16" s="16" t="s">
        <v>72</v>
      </c>
      <c r="C16" s="16" t="s">
        <v>73</v>
      </c>
      <c r="D16" s="16" t="s">
        <v>74</v>
      </c>
      <c r="E16" s="16" t="s">
        <v>75</v>
      </c>
      <c r="F16" s="16" t="s">
        <v>76</v>
      </c>
      <c r="G16" s="16" t="s">
        <v>77</v>
      </c>
      <c r="H16" s="52"/>
      <c r="I16" s="52"/>
      <c r="J16" s="52"/>
      <c r="K16" s="52"/>
      <c r="L16" s="52"/>
      <c r="M16" s="52"/>
    </row>
    <row r="17" spans="1:13" ht="141.75" customHeight="1">
      <c r="A17" s="83">
        <v>1</v>
      </c>
      <c r="B17" s="9" t="s">
        <v>82</v>
      </c>
      <c r="C17" s="9" t="s">
        <v>139</v>
      </c>
      <c r="D17" s="35" t="s">
        <v>140</v>
      </c>
      <c r="E17" s="9" t="s">
        <v>94</v>
      </c>
      <c r="F17" s="22"/>
      <c r="G17" s="48"/>
      <c r="H17" s="51"/>
      <c r="I17" s="51"/>
      <c r="J17" s="51"/>
      <c r="K17" s="51"/>
      <c r="L17" s="51"/>
      <c r="M17" s="51"/>
    </row>
    <row r="18" spans="1:13" ht="408.75" customHeight="1">
      <c r="A18" s="83">
        <v>2</v>
      </c>
      <c r="B18" s="66" t="s">
        <v>82</v>
      </c>
      <c r="C18" s="9" t="s">
        <v>141</v>
      </c>
      <c r="D18" s="88" t="s">
        <v>142</v>
      </c>
      <c r="E18" s="74" t="s">
        <v>143</v>
      </c>
      <c r="F18" s="45"/>
      <c r="G18" s="48"/>
    </row>
    <row r="19" spans="1:13" ht="99.75" customHeight="1">
      <c r="A19" s="83">
        <v>3</v>
      </c>
      <c r="B19" s="66" t="s">
        <v>82</v>
      </c>
      <c r="C19" s="9" t="s">
        <v>141</v>
      </c>
      <c r="D19" s="15" t="s">
        <v>144</v>
      </c>
      <c r="E19" s="74" t="s">
        <v>143</v>
      </c>
      <c r="F19" s="45"/>
      <c r="G19" s="48"/>
    </row>
    <row r="20" spans="1:13" ht="106.5" customHeight="1">
      <c r="A20" s="83">
        <v>4</v>
      </c>
      <c r="B20" s="66" t="s">
        <v>82</v>
      </c>
      <c r="C20" s="9" t="s">
        <v>145</v>
      </c>
      <c r="D20" s="31" t="s">
        <v>146</v>
      </c>
      <c r="E20" s="74" t="s">
        <v>107</v>
      </c>
      <c r="F20" s="45"/>
      <c r="G20" s="48"/>
    </row>
    <row r="21" spans="1:13" ht="113.25" customHeight="1">
      <c r="A21" s="83">
        <v>5</v>
      </c>
      <c r="B21" s="9" t="s">
        <v>82</v>
      </c>
      <c r="C21" s="33" t="s">
        <v>108</v>
      </c>
      <c r="D21" s="10" t="s">
        <v>147</v>
      </c>
      <c r="E21" s="9" t="s">
        <v>110</v>
      </c>
      <c r="F21" s="10"/>
      <c r="G21" s="14"/>
    </row>
    <row r="22" spans="1:13" ht="113.25" customHeight="1">
      <c r="A22" s="83">
        <v>6</v>
      </c>
      <c r="B22" s="95" t="s">
        <v>82</v>
      </c>
      <c r="C22" s="96" t="s">
        <v>148</v>
      </c>
      <c r="D22" s="89" t="s">
        <v>112</v>
      </c>
      <c r="E22" s="95" t="s">
        <v>113</v>
      </c>
      <c r="F22" s="10"/>
      <c r="G22" s="14"/>
    </row>
    <row r="23" spans="1:13" ht="141.75" customHeight="1">
      <c r="A23" s="83">
        <v>7</v>
      </c>
      <c r="B23" s="32" t="s">
        <v>82</v>
      </c>
      <c r="C23" s="33" t="s">
        <v>117</v>
      </c>
      <c r="D23" s="10" t="s">
        <v>149</v>
      </c>
      <c r="E23" s="9" t="s">
        <v>116</v>
      </c>
      <c r="F23" s="10"/>
      <c r="G23" s="14"/>
    </row>
    <row r="24" spans="1:13" ht="141.75" customHeight="1">
      <c r="A24" s="83">
        <v>8</v>
      </c>
      <c r="B24" s="9" t="s">
        <v>82</v>
      </c>
      <c r="C24" s="9" t="s">
        <v>150</v>
      </c>
      <c r="D24" s="10" t="s">
        <v>151</v>
      </c>
      <c r="E24" s="9" t="s">
        <v>116</v>
      </c>
      <c r="F24" s="10"/>
      <c r="G24" s="12"/>
    </row>
    <row r="25" spans="1:13" ht="108.75" customHeight="1">
      <c r="A25" s="83">
        <v>9</v>
      </c>
      <c r="B25" s="32" t="s">
        <v>82</v>
      </c>
      <c r="C25" s="33" t="s">
        <v>152</v>
      </c>
      <c r="D25" s="10" t="s">
        <v>153</v>
      </c>
      <c r="E25" s="9" t="s">
        <v>154</v>
      </c>
      <c r="F25" s="10"/>
      <c r="G25" s="48"/>
    </row>
    <row r="26" spans="1:13" ht="138.75" customHeight="1">
      <c r="A26" s="83">
        <v>10</v>
      </c>
      <c r="B26" s="32" t="s">
        <v>82</v>
      </c>
      <c r="C26" s="33" t="s">
        <v>125</v>
      </c>
      <c r="D26" s="89" t="s">
        <v>155</v>
      </c>
      <c r="E26" s="9" t="s">
        <v>127</v>
      </c>
      <c r="F26" s="10"/>
      <c r="G26" s="12"/>
      <c r="K26" t="s">
        <v>128</v>
      </c>
    </row>
    <row r="27" spans="1:13" ht="108.75" customHeight="1">
      <c r="A27" s="83">
        <v>11</v>
      </c>
      <c r="B27" s="32" t="s">
        <v>82</v>
      </c>
      <c r="C27" s="90" t="s">
        <v>129</v>
      </c>
      <c r="D27" s="10" t="s">
        <v>130</v>
      </c>
      <c r="E27" s="9" t="s">
        <v>131</v>
      </c>
      <c r="F27" s="10"/>
      <c r="G27" s="48"/>
      <c r="K27" t="s">
        <v>128</v>
      </c>
    </row>
    <row r="28" spans="1:13" ht="145.5" customHeight="1">
      <c r="A28" s="83">
        <v>12</v>
      </c>
      <c r="B28" s="32" t="s">
        <v>82</v>
      </c>
      <c r="C28" s="33" t="s">
        <v>156</v>
      </c>
      <c r="D28" s="10" t="s">
        <v>157</v>
      </c>
      <c r="E28" s="9" t="s">
        <v>134</v>
      </c>
      <c r="F28" s="10"/>
      <c r="G28" s="48"/>
    </row>
    <row r="29" spans="1:13" ht="121.5" customHeight="1">
      <c r="A29" s="83">
        <v>13</v>
      </c>
      <c r="B29" s="9" t="s">
        <v>82</v>
      </c>
      <c r="C29" s="69" t="s">
        <v>135</v>
      </c>
      <c r="D29" s="10" t="s">
        <v>136</v>
      </c>
      <c r="E29" s="46" t="s">
        <v>137</v>
      </c>
      <c r="F29" s="10"/>
      <c r="G29" s="48"/>
    </row>
    <row r="30" spans="1:13" ht="30">
      <c r="E30" s="24"/>
      <c r="G30" s="1"/>
    </row>
    <row r="31" spans="1:13" ht="30">
      <c r="E31" s="24"/>
      <c r="G31" s="1"/>
    </row>
    <row r="32" spans="1:13" ht="30">
      <c r="E32" s="24"/>
      <c r="G32" s="1"/>
    </row>
    <row r="33" spans="5:7" ht="30">
      <c r="E33" s="24"/>
      <c r="G33" s="1"/>
    </row>
    <row r="34" spans="5:7" ht="30">
      <c r="E34" s="24"/>
      <c r="G34" s="1"/>
    </row>
    <row r="35" spans="5:7" ht="49.2" customHeight="1">
      <c r="E35" s="24"/>
      <c r="G35" s="1"/>
    </row>
    <row r="36" spans="5:7" ht="30">
      <c r="E36" s="24"/>
      <c r="G36" s="1"/>
    </row>
    <row r="37" spans="5:7" ht="30">
      <c r="E37" s="24"/>
      <c r="G37" s="1"/>
    </row>
    <row r="38" spans="5:7" ht="30">
      <c r="E38" s="24"/>
      <c r="G38" s="1"/>
    </row>
    <row r="39" spans="5:7" ht="30">
      <c r="E39" s="24"/>
      <c r="G39" s="1"/>
    </row>
    <row r="40" spans="5:7" ht="30">
      <c r="E40" s="24"/>
      <c r="G40" s="1"/>
    </row>
    <row r="41" spans="5:7" ht="30">
      <c r="E41" s="24"/>
      <c r="G41" s="1"/>
    </row>
    <row r="42" spans="5:7" ht="30">
      <c r="E42" s="24"/>
      <c r="G42" s="1"/>
    </row>
    <row r="43" spans="5:7" ht="42.6" customHeight="1">
      <c r="E43" s="24"/>
      <c r="G43" s="1"/>
    </row>
    <row r="44" spans="5:7" ht="30">
      <c r="E44" s="24"/>
      <c r="G44" s="1"/>
    </row>
    <row r="45" spans="5:7" ht="34.200000000000003" customHeight="1">
      <c r="E45" s="24"/>
      <c r="G45" s="1"/>
    </row>
    <row r="46" spans="5:7" ht="45.6" customHeight="1">
      <c r="E46" s="24"/>
      <c r="G46" s="1"/>
    </row>
    <row r="47" spans="5:7" ht="40.950000000000003" customHeight="1">
      <c r="E47" s="24"/>
      <c r="G47" s="1"/>
    </row>
    <row r="48" spans="5:7" ht="42.6" customHeight="1">
      <c r="E48" s="24"/>
      <c r="G48" s="1"/>
    </row>
    <row r="49" spans="5:7" ht="30">
      <c r="E49" s="24"/>
      <c r="G49" s="1"/>
    </row>
    <row r="50" spans="5:7" ht="46.95" customHeight="1">
      <c r="E50" s="24"/>
      <c r="G50" s="1"/>
    </row>
    <row r="51" spans="5:7" ht="43.95" customHeight="1">
      <c r="E51" s="24"/>
      <c r="G51" s="1"/>
    </row>
    <row r="52" spans="5:7" ht="52.95" customHeight="1">
      <c r="E52" s="24"/>
      <c r="G52" s="1"/>
    </row>
    <row r="53" spans="5:7" ht="30">
      <c r="E53" s="24"/>
      <c r="G53" s="1"/>
    </row>
    <row r="54" spans="5:7" ht="30">
      <c r="E54" s="24"/>
      <c r="G54" s="1"/>
    </row>
    <row r="55" spans="5:7" ht="30">
      <c r="E55" s="24"/>
      <c r="G55" s="1"/>
    </row>
    <row r="56" spans="5:7" ht="51" customHeight="1">
      <c r="E56" s="24"/>
      <c r="G56" s="1"/>
    </row>
    <row r="57" spans="5:7" ht="37.950000000000003" customHeight="1">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row r="897" spans="5:7" ht="30">
      <c r="E897" s="24"/>
      <c r="G897" s="1"/>
    </row>
    <row r="898" spans="5:7" ht="30">
      <c r="E898" s="24"/>
      <c r="G898" s="1"/>
    </row>
    <row r="899" spans="5:7" ht="30">
      <c r="E899" s="24"/>
      <c r="G899" s="1"/>
    </row>
    <row r="900" spans="5:7" ht="30">
      <c r="E900" s="24"/>
      <c r="G900" s="1"/>
    </row>
    <row r="901" spans="5:7" ht="30">
      <c r="E901" s="24"/>
      <c r="G901" s="1"/>
    </row>
    <row r="902" spans="5:7" ht="30">
      <c r="E902" s="24"/>
      <c r="G902" s="1"/>
    </row>
    <row r="903" spans="5:7" ht="30">
      <c r="E903" s="24"/>
      <c r="G903" s="1"/>
    </row>
    <row r="904" spans="5:7" ht="30">
      <c r="E904" s="24"/>
      <c r="G904" s="1"/>
    </row>
    <row r="905" spans="5:7" ht="30">
      <c r="E905" s="24"/>
      <c r="G905" s="1"/>
    </row>
    <row r="906" spans="5:7" ht="30">
      <c r="E906" s="24"/>
      <c r="G906" s="1"/>
    </row>
    <row r="907" spans="5:7" ht="15.75" customHeight="1">
      <c r="E907" s="24"/>
      <c r="G907" s="1"/>
    </row>
  </sheetData>
  <mergeCells count="1">
    <mergeCell ref="A1:G3"/>
  </mergeCells>
  <conditionalFormatting sqref="E29:E907">
    <cfRule type="containsText" dxfId="17" priority="11" operator="containsText" text="نجح">
      <formula>NOT(ISERROR(SEARCH(("نجح"),(E29))))</formula>
    </cfRule>
    <cfRule type="containsText" dxfId="16" priority="12" operator="containsText" text="فشل">
      <formula>NOT(ISERROR(SEARCH(("فشل"),(E29))))</formula>
    </cfRule>
  </conditionalFormatting>
  <dataValidations count="2">
    <dataValidation showDropDown="1" showInputMessage="1" showErrorMessage="1" sqref="C6:D6" xr:uid="{DAEAF2E6-3634-41E1-A0FC-326540356C05}"/>
    <dataValidation type="list" allowBlank="1" showInputMessage="1" showErrorMessage="1" sqref="G17:G29" xr:uid="{F9F098B2-2A9E-4231-8639-E2B40EA17C95}">
      <formula1>$N$10:$N$12</formula1>
    </dataValidation>
  </dataValidations>
  <pageMargins left="0.7" right="0.7" top="0.75" bottom="0.75" header="0.3" footer="0.3"/>
  <pageSetup paperSize="9" orientation="portrait"/>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DE9C8-01DD-48B2-B1B7-9AA0355738FA}">
  <sheetPr>
    <outlinePr summaryBelow="0" summaryRight="0"/>
  </sheetPr>
  <dimension ref="A1:S911"/>
  <sheetViews>
    <sheetView rightToLeft="1" zoomScale="58" zoomScaleNormal="100" workbookViewId="0">
      <selection activeCell="B17" sqref="B1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19" ht="15.75" customHeight="1">
      <c r="A1" s="140"/>
      <c r="B1" s="140"/>
      <c r="C1" s="140"/>
      <c r="D1" s="140"/>
      <c r="E1" s="140"/>
      <c r="F1" s="140"/>
      <c r="G1" s="140"/>
    </row>
    <row r="2" spans="1:19" ht="15.75" customHeight="1">
      <c r="A2" s="140"/>
      <c r="B2" s="140"/>
      <c r="C2" s="140"/>
      <c r="D2" s="140"/>
      <c r="E2" s="140"/>
      <c r="F2" s="140"/>
      <c r="G2" s="140"/>
    </row>
    <row r="3" spans="1:19" ht="15.75" customHeight="1">
      <c r="A3" s="140"/>
      <c r="B3" s="140"/>
      <c r="C3" s="140"/>
      <c r="D3" s="140"/>
      <c r="E3" s="140"/>
      <c r="F3" s="140"/>
      <c r="G3" s="140"/>
    </row>
    <row r="4" spans="1:19" ht="60.75" customHeight="1">
      <c r="A4" s="141"/>
      <c r="B4" s="141"/>
      <c r="C4" s="141"/>
      <c r="D4" s="141"/>
      <c r="E4" s="141"/>
      <c r="F4" s="141"/>
      <c r="G4" s="141"/>
      <c r="H4" s="51"/>
      <c r="I4" s="51"/>
      <c r="J4" s="51"/>
      <c r="K4" s="51"/>
      <c r="L4" s="51"/>
      <c r="M4" s="51"/>
      <c r="N4" s="51"/>
      <c r="O4" s="51"/>
      <c r="P4" s="51"/>
    </row>
    <row r="5" spans="1:19" ht="1.2" customHeight="1">
      <c r="A5" s="4"/>
      <c r="B5" s="4"/>
      <c r="C5" s="4"/>
      <c r="D5" s="4"/>
      <c r="E5" s="23"/>
      <c r="F5" s="4"/>
      <c r="G5" s="4"/>
      <c r="H5" s="51"/>
      <c r="I5" s="51"/>
      <c r="J5" s="51"/>
      <c r="K5" s="51"/>
      <c r="L5" s="51"/>
      <c r="M5" s="51"/>
      <c r="N5" s="51"/>
      <c r="O5" s="51"/>
      <c r="P5" s="51"/>
    </row>
    <row r="6" spans="1:19" ht="22.8">
      <c r="A6" s="4"/>
      <c r="B6" s="4"/>
      <c r="C6" s="5"/>
      <c r="D6" s="5"/>
      <c r="E6" s="23"/>
      <c r="F6" s="4"/>
      <c r="G6" s="4"/>
      <c r="H6" s="51"/>
      <c r="I6" s="51"/>
      <c r="J6" s="51"/>
      <c r="K6" s="51"/>
      <c r="L6" s="51"/>
      <c r="M6" s="51"/>
      <c r="N6" s="51"/>
      <c r="O6" s="51"/>
      <c r="P6" s="51"/>
    </row>
    <row r="7" spans="1:19" ht="22.8">
      <c r="A7" s="4"/>
      <c r="B7" s="4"/>
      <c r="C7" s="5"/>
      <c r="D7" s="5"/>
      <c r="E7" s="23"/>
      <c r="F7" s="79"/>
      <c r="G7" s="79"/>
      <c r="H7" s="51"/>
      <c r="I7" s="51"/>
      <c r="J7" s="51"/>
      <c r="K7" s="51"/>
      <c r="L7" s="51"/>
      <c r="M7" s="51"/>
      <c r="N7" s="51"/>
      <c r="O7" s="77"/>
      <c r="P7" s="77"/>
      <c r="Q7" s="7" t="s">
        <v>158</v>
      </c>
      <c r="R7" s="7">
        <f>COUNTIF(A:G,"ريوف الحربي")</f>
        <v>0</v>
      </c>
      <c r="S7" s="6"/>
    </row>
    <row r="8" spans="1:19" ht="38.4" customHeight="1">
      <c r="A8" s="41" t="s">
        <v>65</v>
      </c>
      <c r="B8" s="53" t="s">
        <v>66</v>
      </c>
      <c r="C8" s="5"/>
      <c r="D8" s="5"/>
      <c r="E8" s="23"/>
      <c r="F8" s="79"/>
      <c r="G8" s="79"/>
      <c r="H8" s="51"/>
      <c r="I8" s="51"/>
      <c r="J8" s="51"/>
      <c r="K8" s="51"/>
      <c r="L8" s="51"/>
      <c r="M8" s="51"/>
      <c r="N8" s="51"/>
      <c r="O8" s="77"/>
      <c r="P8" s="77"/>
      <c r="Q8" s="7" t="s">
        <v>159</v>
      </c>
      <c r="R8" s="7">
        <f>COUNTIF(A:G,"ريماز المجنحي")</f>
        <v>0</v>
      </c>
      <c r="S8" s="6"/>
    </row>
    <row r="9" spans="1:19" ht="51.75" customHeight="1">
      <c r="A9" s="30" t="s">
        <v>67</v>
      </c>
      <c r="B9" s="40" t="s">
        <v>160</v>
      </c>
      <c r="C9" s="5"/>
      <c r="D9" s="5"/>
      <c r="E9" s="23"/>
      <c r="F9" s="79"/>
      <c r="G9" s="79"/>
      <c r="H9" s="51"/>
      <c r="I9" s="51"/>
      <c r="J9" s="51"/>
      <c r="K9" s="51"/>
      <c r="L9" s="51"/>
      <c r="M9" s="51"/>
      <c r="N9" s="51"/>
      <c r="O9" s="7"/>
      <c r="P9" s="7"/>
      <c r="Q9" s="7" t="s">
        <v>161</v>
      </c>
      <c r="R9" s="7">
        <f>COUNTIF(A:G,"فريق الجودة")</f>
        <v>0</v>
      </c>
      <c r="S9" s="6"/>
    </row>
    <row r="10" spans="1:19" ht="39" customHeight="1">
      <c r="A10" s="4"/>
      <c r="B10" s="4"/>
      <c r="C10" s="4"/>
      <c r="D10" s="4"/>
      <c r="E10" s="23"/>
      <c r="F10" s="79"/>
      <c r="G10" s="79"/>
      <c r="H10" s="51"/>
      <c r="I10" s="51"/>
      <c r="J10" s="51"/>
      <c r="K10" s="51"/>
      <c r="L10" s="51"/>
      <c r="M10" s="51"/>
      <c r="N10" s="51"/>
      <c r="O10" s="7" t="s">
        <v>69</v>
      </c>
      <c r="P10" s="7">
        <f>COUNTIF(A:G,"نجح")</f>
        <v>0</v>
      </c>
      <c r="Q10" s="7" t="s">
        <v>162</v>
      </c>
      <c r="R10" s="7">
        <f>COUNTIF(A:G,"سلطان نعمان")</f>
        <v>0</v>
      </c>
      <c r="S10" s="6"/>
    </row>
    <row r="11" spans="1:19" ht="48" customHeight="1">
      <c r="A11" s="4"/>
      <c r="B11" s="4"/>
      <c r="C11" s="4"/>
      <c r="D11" s="4"/>
      <c r="E11" s="23"/>
      <c r="F11" s="79"/>
      <c r="G11" s="79"/>
      <c r="H11" s="51"/>
      <c r="I11" s="51"/>
      <c r="J11" s="51"/>
      <c r="K11" s="51"/>
      <c r="L11" s="51"/>
      <c r="M11" s="51"/>
      <c r="N11" s="51"/>
      <c r="O11" s="7"/>
      <c r="P11" s="7"/>
      <c r="Q11" s="7"/>
      <c r="R11" s="7"/>
      <c r="S11" s="6"/>
    </row>
    <row r="12" spans="1:19" ht="68.25" customHeight="1">
      <c r="A12" s="4"/>
      <c r="B12" s="4"/>
      <c r="C12" s="4"/>
      <c r="D12" s="4"/>
      <c r="E12" s="23"/>
      <c r="F12" s="79"/>
      <c r="G12" s="79"/>
      <c r="H12" s="51"/>
      <c r="I12" s="51"/>
      <c r="J12" s="51"/>
      <c r="K12" s="51"/>
      <c r="L12" s="51"/>
      <c r="M12" s="51"/>
      <c r="N12" s="51"/>
      <c r="O12" s="7" t="s">
        <v>70</v>
      </c>
      <c r="P12" s="7">
        <f>COUNTIF(A:G,"فشل")</f>
        <v>0</v>
      </c>
      <c r="Q12" s="7"/>
      <c r="R12" s="7"/>
      <c r="S12" s="6"/>
    </row>
    <row r="13" spans="1:19" ht="25.2" customHeight="1">
      <c r="A13" s="4"/>
      <c r="B13" s="4"/>
      <c r="C13" s="4"/>
      <c r="D13" s="4"/>
      <c r="E13" s="23"/>
      <c r="F13" s="4"/>
      <c r="G13" s="4"/>
      <c r="P13" s="6"/>
      <c r="Q13" s="6"/>
      <c r="R13" s="6"/>
      <c r="S13" s="6"/>
    </row>
    <row r="14" spans="1:19" ht="13.2">
      <c r="A14" s="4"/>
      <c r="B14" s="4"/>
      <c r="C14" s="4"/>
      <c r="D14" s="4"/>
      <c r="E14" s="23"/>
      <c r="F14" s="4"/>
      <c r="G14" s="4"/>
      <c r="P14" s="6"/>
      <c r="Q14" s="6"/>
      <c r="R14" s="6"/>
      <c r="S14" s="6"/>
    </row>
    <row r="15" spans="1:19" ht="13.2">
      <c r="A15" s="4"/>
      <c r="B15" s="4"/>
      <c r="C15" s="4"/>
      <c r="D15" s="4"/>
      <c r="E15" s="23"/>
      <c r="F15" s="4"/>
      <c r="G15" s="4"/>
      <c r="P15" s="6"/>
      <c r="Q15" s="6"/>
      <c r="R15" s="6"/>
      <c r="S15" s="6"/>
    </row>
    <row r="16" spans="1:19" s="8" customFormat="1" ht="34.799999999999997">
      <c r="A16" s="42" t="s">
        <v>71</v>
      </c>
      <c r="B16" s="16" t="s">
        <v>72</v>
      </c>
      <c r="C16" s="16" t="s">
        <v>73</v>
      </c>
      <c r="D16" s="16" t="s">
        <v>74</v>
      </c>
      <c r="E16" s="16" t="s">
        <v>75</v>
      </c>
      <c r="F16" s="16" t="s">
        <v>76</v>
      </c>
      <c r="G16" s="16" t="s">
        <v>77</v>
      </c>
    </row>
    <row r="17" spans="1:11" ht="201.75" customHeight="1">
      <c r="A17" s="18">
        <v>1</v>
      </c>
      <c r="B17" s="9" t="s">
        <v>163</v>
      </c>
      <c r="C17" s="9" t="s">
        <v>164</v>
      </c>
      <c r="D17" s="43" t="s">
        <v>165</v>
      </c>
      <c r="E17" s="22" t="s">
        <v>166</v>
      </c>
      <c r="F17" s="10"/>
      <c r="G17" s="12"/>
    </row>
    <row r="18" spans="1:11" ht="364.5" customHeight="1">
      <c r="A18" s="18">
        <v>2</v>
      </c>
      <c r="B18" s="9" t="s">
        <v>167</v>
      </c>
      <c r="C18" s="9" t="s">
        <v>168</v>
      </c>
      <c r="D18" s="31" t="s">
        <v>169</v>
      </c>
      <c r="E18" s="9" t="s">
        <v>170</v>
      </c>
      <c r="F18" s="10"/>
      <c r="G18" s="12"/>
    </row>
    <row r="19" spans="1:11" ht="291" customHeight="1">
      <c r="A19" s="18">
        <v>3</v>
      </c>
      <c r="B19" s="9" t="s">
        <v>167</v>
      </c>
      <c r="C19" s="9" t="s">
        <v>171</v>
      </c>
      <c r="D19" s="31" t="s">
        <v>172</v>
      </c>
      <c r="E19" s="19" t="s">
        <v>173</v>
      </c>
      <c r="F19" s="13"/>
      <c r="G19" s="12"/>
    </row>
    <row r="20" spans="1:11" ht="291" customHeight="1">
      <c r="A20" s="18">
        <v>4</v>
      </c>
      <c r="B20" s="91" t="s">
        <v>167</v>
      </c>
      <c r="C20" s="33" t="s">
        <v>174</v>
      </c>
      <c r="D20" s="10" t="s">
        <v>175</v>
      </c>
      <c r="E20" s="9" t="s">
        <v>176</v>
      </c>
      <c r="F20" s="10"/>
      <c r="G20" s="14"/>
    </row>
    <row r="21" spans="1:11" ht="291" customHeight="1">
      <c r="A21" s="18">
        <v>5</v>
      </c>
      <c r="B21" s="9" t="s">
        <v>82</v>
      </c>
      <c r="C21" s="90" t="s">
        <v>177</v>
      </c>
      <c r="D21" s="10" t="s">
        <v>178</v>
      </c>
      <c r="E21" s="9" t="s">
        <v>179</v>
      </c>
      <c r="F21" s="10"/>
      <c r="G21" s="14"/>
    </row>
    <row r="22" spans="1:11" ht="81.599999999999994">
      <c r="A22" s="18">
        <v>6</v>
      </c>
      <c r="B22" s="9" t="s">
        <v>82</v>
      </c>
      <c r="C22" s="90" t="s">
        <v>180</v>
      </c>
      <c r="D22" s="84" t="s">
        <v>112</v>
      </c>
      <c r="E22" s="9" t="s">
        <v>113</v>
      </c>
      <c r="F22" s="10"/>
      <c r="G22" s="14"/>
    </row>
    <row r="23" spans="1:11" ht="113.25" customHeight="1">
      <c r="A23" s="18">
        <v>7</v>
      </c>
      <c r="B23" s="32" t="s">
        <v>82</v>
      </c>
      <c r="C23" s="33" t="s">
        <v>117</v>
      </c>
      <c r="D23" s="10" t="s">
        <v>149</v>
      </c>
      <c r="E23" s="9" t="s">
        <v>116</v>
      </c>
      <c r="F23" s="10"/>
      <c r="G23" s="14"/>
    </row>
    <row r="24" spans="1:11" ht="113.25" customHeight="1">
      <c r="A24" s="18">
        <v>8</v>
      </c>
      <c r="B24" s="9" t="s">
        <v>82</v>
      </c>
      <c r="C24" s="9" t="s">
        <v>150</v>
      </c>
      <c r="D24" s="10" t="s">
        <v>151</v>
      </c>
      <c r="E24" s="9" t="s">
        <v>116</v>
      </c>
      <c r="F24" s="10"/>
      <c r="G24" s="12"/>
    </row>
    <row r="25" spans="1:11" ht="117" customHeight="1">
      <c r="A25" s="18">
        <v>9</v>
      </c>
      <c r="B25" s="32" t="s">
        <v>181</v>
      </c>
      <c r="C25" s="33" t="s">
        <v>182</v>
      </c>
      <c r="D25" s="10" t="s">
        <v>183</v>
      </c>
      <c r="E25" s="76" t="s">
        <v>154</v>
      </c>
      <c r="F25" s="10"/>
      <c r="G25" s="14"/>
    </row>
    <row r="26" spans="1:11" ht="117" customHeight="1">
      <c r="A26" s="18">
        <v>10</v>
      </c>
      <c r="B26" s="34" t="s">
        <v>181</v>
      </c>
      <c r="C26" s="33" t="s">
        <v>184</v>
      </c>
      <c r="D26" s="89" t="s">
        <v>185</v>
      </c>
      <c r="E26" s="22" t="s">
        <v>186</v>
      </c>
      <c r="F26" s="13"/>
      <c r="G26" s="12"/>
    </row>
    <row r="27" spans="1:11" ht="108.75" customHeight="1">
      <c r="A27" s="18">
        <v>11</v>
      </c>
      <c r="B27" s="32" t="s">
        <v>82</v>
      </c>
      <c r="C27" s="90" t="s">
        <v>187</v>
      </c>
      <c r="D27" s="10" t="s">
        <v>188</v>
      </c>
      <c r="E27" s="9" t="s">
        <v>189</v>
      </c>
      <c r="F27" s="10"/>
      <c r="G27" s="48"/>
      <c r="K27" t="s">
        <v>128</v>
      </c>
    </row>
    <row r="28" spans="1:11" ht="117" customHeight="1">
      <c r="A28" s="18">
        <v>12</v>
      </c>
      <c r="B28" s="34" t="s">
        <v>181</v>
      </c>
      <c r="C28" s="76" t="s">
        <v>190</v>
      </c>
      <c r="D28" s="13" t="s">
        <v>191</v>
      </c>
      <c r="E28" s="76" t="s">
        <v>134</v>
      </c>
      <c r="F28" s="13"/>
      <c r="G28" s="75"/>
    </row>
    <row r="29" spans="1:11" ht="45" customHeight="1">
      <c r="E29" s="24"/>
      <c r="G29" s="1"/>
    </row>
    <row r="30" spans="1:11" ht="30">
      <c r="E30" s="24"/>
      <c r="G30" s="1"/>
    </row>
    <row r="31" spans="1:11" ht="52.95" customHeight="1">
      <c r="E31" s="24"/>
      <c r="G31" s="1"/>
    </row>
    <row r="32" spans="1:11" ht="30">
      <c r="E32" s="24"/>
      <c r="G32" s="1"/>
    </row>
    <row r="33" spans="5:7" ht="30">
      <c r="E33" s="24"/>
      <c r="G33" s="1"/>
    </row>
    <row r="34" spans="5:7" ht="30">
      <c r="E34" s="24"/>
      <c r="G34" s="1"/>
    </row>
    <row r="35" spans="5:7" ht="30">
      <c r="E35" s="24"/>
      <c r="G35" s="1"/>
    </row>
    <row r="36" spans="5:7" ht="30">
      <c r="E36" s="24"/>
      <c r="G36" s="1"/>
    </row>
    <row r="37" spans="5:7" ht="30">
      <c r="E37" s="24"/>
      <c r="G37" s="1"/>
    </row>
    <row r="38" spans="5:7" ht="30">
      <c r="E38" s="24"/>
      <c r="G38" s="1"/>
    </row>
    <row r="39" spans="5:7" ht="30">
      <c r="E39" s="24"/>
      <c r="G39" s="1"/>
    </row>
    <row r="40" spans="5:7" ht="49.2" customHeight="1">
      <c r="E40" s="24"/>
      <c r="G40" s="1"/>
    </row>
    <row r="41" spans="5:7" ht="30">
      <c r="E41" s="24"/>
      <c r="G41" s="1"/>
    </row>
    <row r="42" spans="5:7" ht="30">
      <c r="E42" s="24"/>
      <c r="G42" s="1"/>
    </row>
    <row r="43" spans="5:7" ht="30">
      <c r="E43" s="24"/>
      <c r="G43" s="1"/>
    </row>
    <row r="44" spans="5:7" ht="30">
      <c r="E44" s="24"/>
      <c r="G44" s="1"/>
    </row>
    <row r="45" spans="5:7" ht="30">
      <c r="E45" s="24"/>
      <c r="G45" s="1"/>
    </row>
    <row r="46" spans="5:7" ht="30">
      <c r="E46" s="24"/>
      <c r="G46" s="1"/>
    </row>
    <row r="47" spans="5:7" ht="30">
      <c r="E47" s="24"/>
      <c r="G47" s="1"/>
    </row>
    <row r="48" spans="5:7" ht="42.6" customHeight="1">
      <c r="E48" s="24"/>
      <c r="G48" s="1"/>
    </row>
    <row r="49" spans="5:7" ht="30">
      <c r="E49" s="24"/>
      <c r="G49" s="1"/>
    </row>
    <row r="50" spans="5:7" ht="34.200000000000003" customHeight="1">
      <c r="E50" s="24"/>
      <c r="G50" s="1"/>
    </row>
    <row r="51" spans="5:7" ht="45.6" customHeight="1">
      <c r="E51" s="24"/>
      <c r="G51" s="1"/>
    </row>
    <row r="52" spans="5:7" ht="40.950000000000003" customHeight="1">
      <c r="E52" s="24"/>
      <c r="G52" s="1"/>
    </row>
    <row r="53" spans="5:7" ht="42.6" customHeight="1">
      <c r="E53" s="24"/>
      <c r="G53" s="1"/>
    </row>
    <row r="54" spans="5:7" ht="30">
      <c r="E54" s="24"/>
      <c r="G54" s="1"/>
    </row>
    <row r="55" spans="5:7" ht="46.95" customHeight="1">
      <c r="E55" s="24"/>
      <c r="G55" s="1"/>
    </row>
    <row r="56" spans="5:7" ht="43.95" customHeight="1">
      <c r="E56" s="24"/>
      <c r="G56" s="1"/>
    </row>
    <row r="57" spans="5:7" ht="52.95" customHeight="1">
      <c r="E57" s="24"/>
      <c r="G57" s="1"/>
    </row>
    <row r="58" spans="5:7" ht="30">
      <c r="E58" s="24"/>
      <c r="G58" s="1"/>
    </row>
    <row r="59" spans="5:7" ht="30">
      <c r="E59" s="24"/>
      <c r="G59" s="1"/>
    </row>
    <row r="60" spans="5:7" ht="30">
      <c r="E60" s="24"/>
      <c r="G60" s="1"/>
    </row>
    <row r="61" spans="5:7" ht="51" customHeight="1">
      <c r="E61" s="24"/>
      <c r="G61" s="1"/>
    </row>
    <row r="62" spans="5:7" ht="37.950000000000003" customHeight="1">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row r="897" spans="5:7" ht="30">
      <c r="E897" s="24"/>
      <c r="G897" s="1"/>
    </row>
    <row r="898" spans="5:7" ht="30">
      <c r="E898" s="24"/>
      <c r="G898" s="1"/>
    </row>
    <row r="899" spans="5:7" ht="30">
      <c r="E899" s="24"/>
      <c r="G899" s="1"/>
    </row>
    <row r="900" spans="5:7" ht="30">
      <c r="E900" s="24"/>
      <c r="G900" s="1"/>
    </row>
    <row r="901" spans="5:7" ht="30">
      <c r="E901" s="24"/>
      <c r="G901" s="1"/>
    </row>
    <row r="902" spans="5:7" ht="30">
      <c r="E902" s="24"/>
      <c r="G902" s="1"/>
    </row>
    <row r="903" spans="5:7" ht="30">
      <c r="E903" s="24"/>
      <c r="G903" s="1"/>
    </row>
    <row r="904" spans="5:7" ht="30">
      <c r="E904" s="24"/>
      <c r="G904" s="1"/>
    </row>
    <row r="905" spans="5:7" ht="13.2"/>
    <row r="906" spans="5:7" ht="13.2"/>
    <row r="907" spans="5:7" ht="13.2"/>
    <row r="908" spans="5:7" ht="13.2"/>
    <row r="909" spans="5:7" ht="13.2"/>
    <row r="910" spans="5:7" ht="13.2"/>
    <row r="911" spans="5:7" ht="13.2"/>
  </sheetData>
  <mergeCells count="1">
    <mergeCell ref="A1:G4"/>
  </mergeCells>
  <conditionalFormatting sqref="E17:E18 E25 E29:E904">
    <cfRule type="containsText" dxfId="15" priority="9" operator="containsText" text="نجح">
      <formula>NOT(ISERROR(SEARCH(("نجح"),(E17))))</formula>
    </cfRule>
    <cfRule type="containsText" dxfId="14" priority="10" operator="containsText" text="فشل">
      <formula>NOT(ISERROR(SEARCH(("فشل"),(E17))))</formula>
    </cfRule>
  </conditionalFormatting>
  <dataValidations count="3">
    <dataValidation showDropDown="1" showInputMessage="1" showErrorMessage="1" sqref="C6:D6" xr:uid="{44D798A1-39AD-4B33-8375-0E57496BFB9D}"/>
    <dataValidation type="list" allowBlank="1" showInputMessage="1" showErrorMessage="1" sqref="G17:G22 G25:G28" xr:uid="{0CCC72B1-B8CC-4419-A32F-E1323AA638D6}">
      <formula1>$O$10:$O$12</formula1>
    </dataValidation>
    <dataValidation type="list" allowBlank="1" showInputMessage="1" showErrorMessage="1" sqref="G23:G24" xr:uid="{D8AC76A9-93D2-4046-98D5-675CE12B28FB}">
      <formula1>$N$10:$N$12</formula1>
    </dataValidation>
  </dataValidations>
  <pageMargins left="0.7" right="0.7" top="0.75" bottom="0.75" header="0.3" footer="0.3"/>
  <pageSetup paperSize="9" orientation="portrait"/>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1DFD-3290-4557-A214-1936C0316CCC}">
  <sheetPr>
    <outlinePr summaryBelow="0" summaryRight="0"/>
  </sheetPr>
  <dimension ref="A1:S927"/>
  <sheetViews>
    <sheetView rightToLeft="1" topLeftCell="A10" zoomScale="58" zoomScaleNormal="100" workbookViewId="0">
      <selection activeCell="D19" sqref="D19"/>
    </sheetView>
  </sheetViews>
  <sheetFormatPr defaultColWidth="12.6640625" defaultRowHeight="15.75" customHeight="1"/>
  <cols>
    <col min="1" max="1" width="22.33203125" style="2" customWidth="1"/>
    <col min="2" max="2" width="72.5546875" bestFit="1" customWidth="1"/>
    <col min="3" max="3" width="72.5546875" customWidth="1"/>
    <col min="4" max="4" width="114.109375" customWidth="1"/>
    <col min="5" max="5" width="60.5546875" style="25" bestFit="1" customWidth="1"/>
    <col min="6" max="6" width="60.44140625" bestFit="1" customWidth="1"/>
    <col min="7" max="7" width="54" customWidth="1"/>
    <col min="8" max="15" width="9.109375"/>
    <col min="16" max="16" width="14" customWidth="1"/>
    <col min="17" max="17" width="19.88671875" customWidth="1"/>
  </cols>
  <sheetData>
    <row r="1" spans="1:19" ht="15.75" customHeight="1">
      <c r="A1" s="140" t="s">
        <v>0</v>
      </c>
      <c r="B1" s="140"/>
      <c r="C1" s="140"/>
      <c r="D1" s="140"/>
      <c r="E1" s="140"/>
      <c r="F1" s="140"/>
      <c r="G1" s="140"/>
    </row>
    <row r="2" spans="1:19" ht="15.75" customHeight="1">
      <c r="A2" s="140"/>
      <c r="B2" s="140"/>
      <c r="C2" s="140"/>
      <c r="D2" s="140"/>
      <c r="E2" s="140"/>
      <c r="F2" s="140"/>
      <c r="G2" s="140"/>
    </row>
    <row r="3" spans="1:19" ht="15.75" customHeight="1">
      <c r="A3" s="140"/>
      <c r="B3" s="140"/>
      <c r="C3" s="140"/>
      <c r="D3" s="140"/>
      <c r="E3" s="140"/>
      <c r="F3" s="140"/>
      <c r="G3" s="140"/>
    </row>
    <row r="4" spans="1:19" ht="39.6" customHeight="1">
      <c r="A4" s="141"/>
      <c r="B4" s="141"/>
      <c r="C4" s="141"/>
      <c r="D4" s="141"/>
      <c r="E4" s="141"/>
      <c r="F4" s="141"/>
      <c r="G4" s="141"/>
    </row>
    <row r="5" spans="1:19" ht="1.2" customHeight="1">
      <c r="A5" s="3"/>
      <c r="B5" s="4"/>
      <c r="C5" s="4"/>
      <c r="D5" s="4"/>
      <c r="E5" s="23"/>
      <c r="F5" s="4"/>
      <c r="G5" s="4"/>
    </row>
    <row r="6" spans="1:19" ht="22.8">
      <c r="A6" s="3"/>
      <c r="B6" s="4"/>
      <c r="C6" s="4"/>
      <c r="D6" s="5"/>
      <c r="E6" s="23"/>
      <c r="F6" s="4"/>
      <c r="G6" s="4"/>
    </row>
    <row r="7" spans="1:19" ht="22.8">
      <c r="A7" s="3"/>
      <c r="B7" s="4"/>
      <c r="C7" s="4"/>
      <c r="D7" s="5"/>
      <c r="E7" s="23"/>
      <c r="F7" s="4"/>
      <c r="G7" s="4"/>
      <c r="O7" s="7"/>
      <c r="P7" s="7"/>
      <c r="Q7" s="7" t="s">
        <v>158</v>
      </c>
      <c r="R7" s="7">
        <f>COUNTIF(A:G,"ريوف الحربي")</f>
        <v>0</v>
      </c>
      <c r="S7" s="6"/>
    </row>
    <row r="8" spans="1:19" ht="22.8">
      <c r="A8" s="30" t="s">
        <v>65</v>
      </c>
      <c r="B8" s="27" t="s">
        <v>192</v>
      </c>
      <c r="C8" s="5"/>
      <c r="D8" s="5"/>
      <c r="E8" s="23"/>
      <c r="F8" s="4"/>
      <c r="G8" s="4"/>
      <c r="O8" s="7"/>
      <c r="P8" s="7"/>
      <c r="Q8" s="7" t="s">
        <v>159</v>
      </c>
      <c r="R8" s="7">
        <f>COUNTIF(A:G,"ريماز المجنحي")</f>
        <v>0</v>
      </c>
      <c r="S8" s="6"/>
    </row>
    <row r="9" spans="1:19" ht="66.599999999999994">
      <c r="A9" s="30" t="s">
        <v>67</v>
      </c>
      <c r="B9" s="27" t="s">
        <v>193</v>
      </c>
      <c r="C9" s="5"/>
      <c r="D9" s="5"/>
      <c r="E9" s="23"/>
      <c r="F9" s="29" t="s">
        <v>69</v>
      </c>
      <c r="G9" s="4"/>
      <c r="O9" s="7"/>
      <c r="P9" s="7"/>
      <c r="Q9" s="7" t="s">
        <v>161</v>
      </c>
      <c r="R9" s="7">
        <f>COUNTIF(A:G,"فريق الجودة")</f>
        <v>0</v>
      </c>
      <c r="S9" s="6"/>
    </row>
    <row r="10" spans="1:19" ht="44.4">
      <c r="A10" s="30" t="s">
        <v>194</v>
      </c>
      <c r="B10" s="28" t="s">
        <v>195</v>
      </c>
      <c r="C10" s="21"/>
      <c r="D10" s="4"/>
      <c r="E10" s="23"/>
      <c r="F10" s="29" t="s">
        <v>70</v>
      </c>
      <c r="G10" s="4"/>
      <c r="O10" s="7" t="s">
        <v>69</v>
      </c>
      <c r="P10" s="7">
        <f>COUNTIF(A:G,"نجح")</f>
        <v>1</v>
      </c>
      <c r="Q10" s="7" t="s">
        <v>162</v>
      </c>
      <c r="R10" s="7">
        <f>COUNTIF(A:G,"سلطان نعمان")</f>
        <v>0</v>
      </c>
      <c r="S10" s="6"/>
    </row>
    <row r="11" spans="1:19" ht="78" customHeight="1">
      <c r="A11" s="4"/>
      <c r="B11" s="4"/>
      <c r="C11" s="5"/>
      <c r="D11" s="4"/>
      <c r="E11" s="23"/>
      <c r="F11" s="4"/>
      <c r="G11" s="4"/>
      <c r="O11" s="7" t="s">
        <v>70</v>
      </c>
      <c r="P11" s="7">
        <f>COUNTIF(A:G,"فشل")</f>
        <v>1</v>
      </c>
      <c r="Q11" s="7"/>
      <c r="R11" s="7"/>
      <c r="S11" s="6"/>
    </row>
    <row r="12" spans="1:19" ht="25.2" customHeight="1">
      <c r="A12" s="4"/>
      <c r="B12" s="4"/>
      <c r="C12" s="4"/>
      <c r="D12" s="4"/>
      <c r="E12" s="23"/>
      <c r="F12" s="4"/>
      <c r="G12" s="4"/>
      <c r="P12" s="6"/>
      <c r="Q12" s="6"/>
      <c r="R12" s="6"/>
      <c r="S12" s="6"/>
    </row>
    <row r="13" spans="1:19" ht="13.2">
      <c r="A13" s="4"/>
      <c r="B13" s="4"/>
      <c r="C13" s="4"/>
      <c r="D13" s="4"/>
      <c r="E13" s="23"/>
      <c r="F13" s="4"/>
      <c r="G13" s="4"/>
      <c r="P13" s="6"/>
      <c r="Q13" s="6"/>
      <c r="R13" s="6"/>
      <c r="S13" s="6"/>
    </row>
    <row r="14" spans="1:19" ht="13.2">
      <c r="A14" s="4"/>
      <c r="B14" s="4"/>
      <c r="C14" s="4"/>
      <c r="D14" s="4"/>
      <c r="E14" s="23"/>
      <c r="F14" s="4"/>
      <c r="G14" s="4"/>
      <c r="P14" s="6"/>
      <c r="Q14" s="6"/>
      <c r="R14" s="6"/>
      <c r="S14" s="6"/>
    </row>
    <row r="15" spans="1:19" s="8" customFormat="1" ht="34.799999999999997">
      <c r="A15" s="17" t="s">
        <v>71</v>
      </c>
      <c r="B15" s="16" t="s">
        <v>72</v>
      </c>
      <c r="C15" s="16" t="s">
        <v>73</v>
      </c>
      <c r="D15" s="16" t="s">
        <v>74</v>
      </c>
      <c r="E15" s="16" t="s">
        <v>75</v>
      </c>
      <c r="F15" s="16" t="s">
        <v>76</v>
      </c>
      <c r="G15" s="16" t="s">
        <v>77</v>
      </c>
    </row>
    <row r="16" spans="1:19" ht="90" customHeight="1">
      <c r="A16" s="18">
        <v>1</v>
      </c>
      <c r="B16" s="9" t="s">
        <v>196</v>
      </c>
      <c r="C16" s="9" t="s">
        <v>197</v>
      </c>
      <c r="D16" s="11" t="s">
        <v>198</v>
      </c>
      <c r="E16" s="9" t="s">
        <v>199</v>
      </c>
      <c r="F16" s="9"/>
      <c r="G16" s="12"/>
    </row>
    <row r="17" spans="1:7" ht="90" customHeight="1">
      <c r="A17" s="18">
        <v>2</v>
      </c>
      <c r="B17" s="9" t="s">
        <v>196</v>
      </c>
      <c r="C17" s="9" t="s">
        <v>197</v>
      </c>
      <c r="D17" s="36" t="s">
        <v>200</v>
      </c>
      <c r="E17" s="22" t="s">
        <v>201</v>
      </c>
      <c r="F17" s="9"/>
      <c r="G17" s="12"/>
    </row>
    <row r="18" spans="1:7" ht="251.25" customHeight="1">
      <c r="A18" s="18">
        <v>3</v>
      </c>
      <c r="B18" s="9" t="s">
        <v>196</v>
      </c>
      <c r="C18" s="9" t="s">
        <v>197</v>
      </c>
      <c r="D18" s="36" t="s">
        <v>202</v>
      </c>
      <c r="E18" s="22" t="s">
        <v>203</v>
      </c>
      <c r="F18" s="10"/>
      <c r="G18" s="12"/>
    </row>
    <row r="19" spans="1:7" ht="155.25" customHeight="1">
      <c r="A19" s="18">
        <v>4</v>
      </c>
      <c r="B19" s="9" t="s">
        <v>204</v>
      </c>
      <c r="C19" s="9" t="s">
        <v>197</v>
      </c>
      <c r="D19" s="10" t="s">
        <v>205</v>
      </c>
      <c r="E19" s="22" t="s">
        <v>206</v>
      </c>
      <c r="F19" s="10"/>
      <c r="G19" s="14"/>
    </row>
    <row r="20" spans="1:7" ht="40.200000000000003" customHeight="1">
      <c r="E20" s="24"/>
      <c r="G20" s="1"/>
    </row>
    <row r="21" spans="1:7" ht="49.2" customHeight="1">
      <c r="E21" s="24"/>
      <c r="G21" s="1"/>
    </row>
    <row r="22" spans="1:7" ht="46.95" customHeight="1">
      <c r="E22" s="24"/>
      <c r="G22" s="1"/>
    </row>
    <row r="23" spans="1:7" ht="148.5" customHeight="1">
      <c r="E23" s="24"/>
      <c r="G23" s="1"/>
    </row>
    <row r="24" spans="1:7" ht="69.599999999999994" customHeight="1">
      <c r="E24" s="24"/>
      <c r="G24" s="1"/>
    </row>
    <row r="25" spans="1:7" ht="83.4" customHeight="1">
      <c r="E25" s="24"/>
      <c r="G25" s="1"/>
    </row>
    <row r="26" spans="1:7" ht="83.4" customHeight="1">
      <c r="E26" s="24"/>
      <c r="G26" s="1"/>
    </row>
    <row r="27" spans="1:7" ht="84.6" customHeight="1">
      <c r="E27" s="24"/>
      <c r="G27" s="1"/>
    </row>
    <row r="28" spans="1:7" ht="70.2" customHeight="1">
      <c r="E28" s="24"/>
      <c r="G28" s="1"/>
    </row>
    <row r="29" spans="1:7" ht="70.2" customHeight="1">
      <c r="E29" s="24"/>
      <c r="G29" s="1"/>
    </row>
    <row r="30" spans="1:7" ht="54" customHeight="1">
      <c r="E30" s="24"/>
      <c r="G30" s="1"/>
    </row>
    <row r="31" spans="1:7" ht="56.4" customHeight="1">
      <c r="E31" s="24"/>
      <c r="G31" s="1"/>
    </row>
    <row r="32" spans="1:7" ht="56.4" customHeight="1">
      <c r="E32" s="24"/>
      <c r="G32" s="1"/>
    </row>
    <row r="33" spans="5:7" ht="52.95" customHeight="1">
      <c r="E33" s="24"/>
      <c r="G33" s="1"/>
    </row>
    <row r="34" spans="5:7" ht="45" customHeight="1">
      <c r="E34" s="24"/>
      <c r="G34" s="1"/>
    </row>
    <row r="35" spans="5:7" ht="54" customHeight="1">
      <c r="E35" s="24"/>
      <c r="G35" s="1"/>
    </row>
    <row r="36" spans="5:7" ht="30">
      <c r="E36" s="24"/>
      <c r="G36" s="1"/>
    </row>
    <row r="37" spans="5:7" ht="30">
      <c r="E37" s="24"/>
      <c r="G37" s="1"/>
    </row>
    <row r="38" spans="5:7" ht="30">
      <c r="E38" s="24"/>
      <c r="G38" s="1"/>
    </row>
    <row r="39" spans="5:7" ht="30">
      <c r="E39" s="24"/>
      <c r="G39" s="1"/>
    </row>
    <row r="40" spans="5:7" ht="30">
      <c r="E40" s="24"/>
      <c r="G40" s="1"/>
    </row>
    <row r="41" spans="5:7" ht="30">
      <c r="E41" s="24"/>
      <c r="G41" s="1"/>
    </row>
    <row r="42" spans="5:7" ht="30">
      <c r="E42" s="24"/>
      <c r="G42" s="1"/>
    </row>
    <row r="43" spans="5:7" ht="30">
      <c r="E43" s="24"/>
      <c r="G43" s="1"/>
    </row>
    <row r="44" spans="5:7" ht="36.6" customHeight="1">
      <c r="E44" s="24"/>
      <c r="G44" s="1"/>
    </row>
    <row r="45" spans="5:7" ht="45" customHeight="1">
      <c r="E45" s="24"/>
      <c r="G45" s="1"/>
    </row>
    <row r="46" spans="5:7" ht="30">
      <c r="E46" s="24"/>
      <c r="G46" s="1"/>
    </row>
    <row r="47" spans="5:7" ht="52.95" customHeight="1">
      <c r="E47" s="24"/>
      <c r="G47" s="1"/>
    </row>
    <row r="48" spans="5:7" ht="30">
      <c r="E48" s="24"/>
      <c r="G48" s="1"/>
    </row>
    <row r="49" spans="5:7" ht="30">
      <c r="E49" s="24"/>
      <c r="G49" s="1"/>
    </row>
    <row r="50" spans="5:7" ht="30">
      <c r="E50" s="24"/>
      <c r="G50" s="1"/>
    </row>
    <row r="51" spans="5:7" ht="30">
      <c r="E51" s="24"/>
      <c r="G51" s="1"/>
    </row>
    <row r="52" spans="5:7" ht="30">
      <c r="E52" s="24"/>
      <c r="G52" s="1"/>
    </row>
    <row r="53" spans="5:7" ht="30">
      <c r="E53" s="24"/>
      <c r="G53" s="1"/>
    </row>
    <row r="54" spans="5:7" ht="30">
      <c r="E54" s="24"/>
      <c r="G54" s="1"/>
    </row>
    <row r="55" spans="5:7" ht="30">
      <c r="E55" s="24"/>
      <c r="G55" s="1"/>
    </row>
    <row r="56" spans="5:7" ht="49.2" customHeight="1">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42.6" customHeight="1">
      <c r="E64" s="24"/>
      <c r="G64" s="1"/>
    </row>
    <row r="65" spans="5:7" ht="30">
      <c r="E65" s="24"/>
      <c r="G65" s="1"/>
    </row>
    <row r="66" spans="5:7" ht="34.200000000000003" customHeight="1">
      <c r="E66" s="24"/>
      <c r="G66" s="1"/>
    </row>
    <row r="67" spans="5:7" ht="45.6" customHeight="1">
      <c r="E67" s="24"/>
      <c r="G67" s="1"/>
    </row>
    <row r="68" spans="5:7" ht="40.950000000000003" customHeight="1">
      <c r="E68" s="24"/>
      <c r="G68" s="1"/>
    </row>
    <row r="69" spans="5:7" ht="42.6" customHeight="1">
      <c r="E69" s="24"/>
      <c r="G69" s="1"/>
    </row>
    <row r="70" spans="5:7" ht="30">
      <c r="E70" s="24"/>
      <c r="G70" s="1"/>
    </row>
    <row r="71" spans="5:7" ht="46.95" customHeight="1">
      <c r="E71" s="24"/>
      <c r="G71" s="1"/>
    </row>
    <row r="72" spans="5:7" ht="43.95" customHeight="1">
      <c r="E72" s="24"/>
      <c r="G72" s="1"/>
    </row>
    <row r="73" spans="5:7" ht="52.95" customHeight="1">
      <c r="E73" s="24"/>
      <c r="G73" s="1"/>
    </row>
    <row r="74" spans="5:7" ht="30">
      <c r="E74" s="24"/>
      <c r="G74" s="1"/>
    </row>
    <row r="75" spans="5:7" ht="30">
      <c r="E75" s="24"/>
      <c r="G75" s="1"/>
    </row>
    <row r="76" spans="5:7" ht="30">
      <c r="E76" s="24"/>
      <c r="G76" s="1"/>
    </row>
    <row r="77" spans="5:7" ht="51" customHeight="1">
      <c r="E77" s="24"/>
      <c r="G77" s="1"/>
    </row>
    <row r="78" spans="5:7" ht="37.950000000000003" customHeight="1">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row r="897" spans="5:7" ht="30">
      <c r="E897" s="24"/>
      <c r="G897" s="1"/>
    </row>
    <row r="898" spans="5:7" ht="30">
      <c r="E898" s="24"/>
      <c r="G898" s="1"/>
    </row>
    <row r="899" spans="5:7" ht="30">
      <c r="E899" s="24"/>
      <c r="G899" s="1"/>
    </row>
    <row r="900" spans="5:7" ht="30">
      <c r="E900" s="24"/>
      <c r="G900" s="1"/>
    </row>
    <row r="901" spans="5:7" ht="13.2"/>
    <row r="902" spans="5:7" ht="13.2"/>
    <row r="903" spans="5:7" ht="13.2"/>
    <row r="904" spans="5:7" ht="13.2"/>
    <row r="905" spans="5:7" ht="13.2"/>
    <row r="906" spans="5:7" ht="13.2"/>
    <row r="907" spans="5:7" ht="13.2"/>
    <row r="908" spans="5:7" ht="13.2"/>
    <row r="909" spans="5:7" ht="13.2"/>
    <row r="910" spans="5:7" ht="13.2"/>
    <row r="911" spans="5:7" ht="13.2"/>
    <row r="912" spans="5:7" ht="13.2"/>
    <row r="913" ht="13.2"/>
    <row r="914" ht="13.2"/>
    <row r="915" ht="13.2"/>
    <row r="916" ht="13.2"/>
    <row r="917" ht="13.2"/>
    <row r="918" ht="13.2"/>
    <row r="919" ht="13.2"/>
    <row r="920" ht="13.2"/>
    <row r="921" ht="13.2"/>
    <row r="922" ht="13.2"/>
    <row r="923" ht="13.2"/>
    <row r="924" ht="13.2"/>
    <row r="925" ht="13.2"/>
    <row r="926" ht="13.2"/>
    <row r="927" ht="13.2"/>
  </sheetData>
  <mergeCells count="1">
    <mergeCell ref="A1:G4"/>
  </mergeCells>
  <conditionalFormatting sqref="E18:E900">
    <cfRule type="containsText" dxfId="13" priority="3" operator="containsText" text="نجح">
      <formula>NOT(ISERROR(SEARCH(("نجح"),(E18))))</formula>
    </cfRule>
    <cfRule type="containsText" dxfId="12" priority="4" operator="containsText" text="فشل">
      <formula>NOT(ISERROR(SEARCH(("فشل"),(E18))))</formula>
    </cfRule>
  </conditionalFormatting>
  <dataValidations count="2">
    <dataValidation showDropDown="1" showInputMessage="1" showErrorMessage="1" sqref="D6 B8:C8" xr:uid="{9668BBE6-F130-44FE-8702-E0228E97A60F}"/>
    <dataValidation type="list" allowBlank="1" showInputMessage="1" showErrorMessage="1" sqref="G16:G19" xr:uid="{93E23BCF-00BE-4E80-9109-ECBBB001B2D4}">
      <formula1>$F$9:$F$10</formula1>
    </dataValidation>
  </dataValidations>
  <pageMargins left="0.7" right="0.7" top="0.75" bottom="0.75" header="0.3" footer="0.3"/>
  <pageSetup paperSize="9" orientation="portrait"/>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80517-1E95-4258-B486-FA0994F5D43C}">
  <sheetPr>
    <outlinePr summaryBelow="0" summaryRight="0"/>
  </sheetPr>
  <dimension ref="A1:AL912"/>
  <sheetViews>
    <sheetView rightToLeft="1" zoomScale="30" zoomScaleNormal="30" workbookViewId="0">
      <selection activeCell="B17" sqref="B1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38" ht="15.75" customHeight="1">
      <c r="A1" s="140"/>
      <c r="B1" s="140"/>
      <c r="C1" s="140"/>
      <c r="D1" s="140"/>
      <c r="E1" s="140"/>
      <c r="F1" s="140"/>
      <c r="G1" s="140"/>
    </row>
    <row r="2" spans="1:38" ht="15.75" customHeight="1">
      <c r="A2" s="140"/>
      <c r="B2" s="140"/>
      <c r="C2" s="140"/>
      <c r="D2" s="140"/>
      <c r="E2" s="140"/>
      <c r="F2" s="140"/>
      <c r="G2" s="140"/>
    </row>
    <row r="3" spans="1:38" ht="15.75" customHeight="1">
      <c r="A3" s="140"/>
      <c r="B3" s="140"/>
      <c r="C3" s="140"/>
      <c r="D3" s="140"/>
      <c r="E3" s="140"/>
      <c r="F3" s="140"/>
      <c r="G3" s="140"/>
    </row>
    <row r="4" spans="1:38" ht="60.75" customHeight="1">
      <c r="A4" s="141"/>
      <c r="B4" s="141"/>
      <c r="C4" s="141"/>
      <c r="D4" s="141"/>
      <c r="E4" s="141"/>
      <c r="F4" s="141"/>
      <c r="G4" s="141"/>
      <c r="I4" s="98"/>
      <c r="J4" s="98"/>
      <c r="K4" s="98"/>
      <c r="L4" s="98"/>
      <c r="M4" s="98"/>
      <c r="N4" s="98"/>
      <c r="O4" s="98"/>
      <c r="P4" s="98"/>
      <c r="Q4" s="98"/>
      <c r="R4" s="98"/>
      <c r="S4" s="98"/>
      <c r="T4" s="98"/>
      <c r="U4" s="98"/>
      <c r="V4" s="98"/>
      <c r="W4" s="98"/>
    </row>
    <row r="5" spans="1:38" ht="1.2" customHeight="1">
      <c r="A5" s="4"/>
      <c r="B5" s="4"/>
      <c r="C5" s="4"/>
      <c r="D5" s="4"/>
      <c r="E5" s="23"/>
      <c r="F5" s="4"/>
      <c r="G5" s="4"/>
      <c r="I5" s="98"/>
      <c r="J5" s="98"/>
      <c r="K5" s="98"/>
      <c r="L5" s="98"/>
      <c r="M5" s="98"/>
      <c r="N5" s="98"/>
      <c r="O5" s="98"/>
      <c r="P5" s="98"/>
      <c r="Q5" s="98"/>
      <c r="R5" s="98"/>
      <c r="S5" s="98"/>
      <c r="T5" s="98"/>
      <c r="U5" s="98"/>
      <c r="V5" s="98"/>
      <c r="W5" s="98"/>
    </row>
    <row r="6" spans="1:38" ht="22.8">
      <c r="A6" s="4"/>
      <c r="B6" s="4"/>
      <c r="C6" s="5"/>
      <c r="D6" s="5"/>
      <c r="E6" s="23"/>
      <c r="F6" s="4"/>
      <c r="G6" s="4"/>
      <c r="I6" s="98"/>
      <c r="J6" s="98"/>
      <c r="K6" s="98"/>
      <c r="L6" s="98"/>
      <c r="M6" s="98"/>
      <c r="N6" s="98"/>
      <c r="O6" s="98"/>
      <c r="P6" s="98"/>
      <c r="Q6" s="98"/>
      <c r="R6" s="98"/>
      <c r="S6" s="98"/>
      <c r="T6" s="98"/>
      <c r="U6" s="98"/>
      <c r="V6" s="98"/>
      <c r="W6" s="98"/>
    </row>
    <row r="7" spans="1:38" ht="22.8">
      <c r="A7" s="4"/>
      <c r="B7" s="4"/>
      <c r="C7" s="5"/>
      <c r="D7" s="5"/>
      <c r="E7" s="23"/>
      <c r="F7" s="79"/>
      <c r="G7" s="79"/>
      <c r="H7" s="51"/>
      <c r="I7" s="98"/>
      <c r="J7" s="98"/>
      <c r="K7" s="98"/>
      <c r="L7" s="98"/>
      <c r="M7" s="98"/>
      <c r="N7" s="98"/>
      <c r="O7" s="99"/>
      <c r="P7" s="99"/>
      <c r="Q7" s="99"/>
      <c r="R7" s="99"/>
      <c r="S7" s="99"/>
      <c r="T7" s="98"/>
      <c r="U7" s="98"/>
      <c r="V7" s="98"/>
      <c r="W7" s="98"/>
      <c r="X7" s="51"/>
      <c r="Y7" s="51"/>
      <c r="Z7" s="51"/>
      <c r="AA7" s="51"/>
      <c r="AB7" s="51"/>
      <c r="AC7" s="51"/>
      <c r="AD7" s="51"/>
      <c r="AE7" s="51"/>
      <c r="AF7" s="51"/>
      <c r="AG7" s="51"/>
      <c r="AH7" s="51"/>
      <c r="AI7" s="51"/>
      <c r="AJ7" s="51"/>
      <c r="AK7" s="51"/>
      <c r="AL7" s="51"/>
    </row>
    <row r="8" spans="1:38" ht="33.6" customHeight="1">
      <c r="A8" s="41" t="s">
        <v>65</v>
      </c>
      <c r="B8" s="53" t="s">
        <v>66</v>
      </c>
      <c r="C8" s="5"/>
      <c r="D8" s="5"/>
      <c r="E8" s="23"/>
      <c r="F8" s="79"/>
      <c r="G8" s="79"/>
      <c r="H8" s="51"/>
      <c r="I8" s="98"/>
      <c r="J8" s="98"/>
      <c r="K8" s="98"/>
      <c r="L8" s="98"/>
      <c r="M8" s="98"/>
      <c r="N8" s="98"/>
      <c r="O8" s="99"/>
      <c r="P8" s="99"/>
      <c r="Q8" s="99"/>
      <c r="R8" s="99"/>
      <c r="S8" s="99"/>
      <c r="T8" s="98"/>
      <c r="U8" s="98"/>
      <c r="V8" s="98"/>
      <c r="W8" s="98"/>
      <c r="X8" s="51"/>
      <c r="Y8" s="51"/>
      <c r="Z8" s="51"/>
      <c r="AA8" s="51"/>
      <c r="AB8" s="51"/>
      <c r="AC8" s="51"/>
      <c r="AD8" s="51"/>
      <c r="AE8" s="51"/>
      <c r="AF8" s="51"/>
      <c r="AG8" s="51"/>
      <c r="AH8" s="51"/>
      <c r="AI8" s="51"/>
      <c r="AJ8" s="51"/>
      <c r="AK8" s="51"/>
      <c r="AL8" s="51"/>
    </row>
    <row r="9" spans="1:38" ht="51.75" customHeight="1">
      <c r="A9" s="30" t="s">
        <v>67</v>
      </c>
      <c r="B9" s="40" t="s">
        <v>207</v>
      </c>
      <c r="C9" s="5"/>
      <c r="D9" s="5"/>
      <c r="E9" s="23"/>
      <c r="F9" s="79"/>
      <c r="G9" s="79"/>
      <c r="H9" s="51"/>
      <c r="I9" s="98"/>
      <c r="J9" s="98"/>
      <c r="K9" s="98"/>
      <c r="L9" s="98"/>
      <c r="M9" s="98"/>
      <c r="N9" s="98"/>
      <c r="O9" s="99"/>
      <c r="P9" s="99"/>
      <c r="Q9" s="99"/>
      <c r="R9" s="99"/>
      <c r="S9" s="99"/>
      <c r="T9" s="98"/>
      <c r="U9" s="98"/>
      <c r="V9" s="98"/>
      <c r="W9" s="98"/>
      <c r="X9" s="51"/>
      <c r="Y9" s="51"/>
      <c r="Z9" s="51"/>
      <c r="AA9" s="51"/>
      <c r="AB9" s="51"/>
      <c r="AC9" s="51"/>
      <c r="AD9" s="51"/>
      <c r="AE9" s="51"/>
      <c r="AF9" s="51"/>
      <c r="AG9" s="51"/>
      <c r="AH9" s="51"/>
      <c r="AI9" s="51"/>
      <c r="AJ9" s="51"/>
      <c r="AK9" s="51"/>
      <c r="AL9" s="51"/>
    </row>
    <row r="10" spans="1:38" ht="39" customHeight="1">
      <c r="A10" s="4"/>
      <c r="B10" s="4"/>
      <c r="C10" s="4"/>
      <c r="D10" s="4"/>
      <c r="E10" s="23"/>
      <c r="F10" s="79"/>
      <c r="G10" s="79"/>
      <c r="H10" s="51"/>
      <c r="I10" s="98"/>
      <c r="J10" s="98"/>
      <c r="K10" s="98"/>
      <c r="L10" s="98"/>
      <c r="M10" s="98"/>
      <c r="N10" s="98"/>
      <c r="O10" s="7" t="s">
        <v>69</v>
      </c>
      <c r="P10" s="7">
        <f>COUNTIF(A:G,"نجح")</f>
        <v>0</v>
      </c>
      <c r="Q10" s="99"/>
      <c r="R10" s="99"/>
      <c r="S10" s="99"/>
      <c r="T10" s="98"/>
      <c r="U10" s="98"/>
      <c r="V10" s="98"/>
      <c r="W10" s="98"/>
      <c r="X10" s="51"/>
      <c r="Y10" s="51"/>
      <c r="Z10" s="51"/>
      <c r="AA10" s="51"/>
      <c r="AB10" s="51"/>
      <c r="AC10" s="51"/>
      <c r="AD10" s="51"/>
      <c r="AE10" s="51"/>
      <c r="AF10" s="51"/>
      <c r="AG10" s="51"/>
      <c r="AH10" s="51"/>
      <c r="AI10" s="51"/>
      <c r="AJ10" s="51"/>
      <c r="AK10" s="51"/>
      <c r="AL10" s="51"/>
    </row>
    <row r="11" spans="1:38" ht="48" customHeight="1">
      <c r="A11" s="4"/>
      <c r="B11" s="4"/>
      <c r="C11" s="4"/>
      <c r="D11" s="4"/>
      <c r="E11" s="23"/>
      <c r="F11" s="79"/>
      <c r="G11" s="79"/>
      <c r="H11" s="51"/>
      <c r="I11" s="98"/>
      <c r="J11" s="98"/>
      <c r="K11" s="98"/>
      <c r="L11" s="98"/>
      <c r="M11" s="98"/>
      <c r="N11" s="98"/>
      <c r="O11" s="7"/>
      <c r="P11" s="7"/>
      <c r="Q11" s="99"/>
      <c r="R11" s="99"/>
      <c r="S11" s="99"/>
      <c r="T11" s="98"/>
      <c r="U11" s="98"/>
      <c r="V11" s="98"/>
      <c r="W11" s="98"/>
      <c r="X11" s="51"/>
      <c r="Y11" s="51"/>
      <c r="Z11" s="51"/>
      <c r="AA11" s="51"/>
      <c r="AB11" s="51"/>
      <c r="AC11" s="51"/>
      <c r="AD11" s="51"/>
      <c r="AE11" s="51"/>
      <c r="AF11" s="51"/>
      <c r="AG11" s="51"/>
      <c r="AH11" s="51"/>
      <c r="AI11" s="51"/>
      <c r="AJ11" s="51"/>
      <c r="AK11" s="51"/>
      <c r="AL11" s="51"/>
    </row>
    <row r="12" spans="1:38" ht="68.25" customHeight="1">
      <c r="A12" s="4"/>
      <c r="B12" s="4"/>
      <c r="C12" s="4"/>
      <c r="D12" s="4"/>
      <c r="E12" s="23"/>
      <c r="F12" s="79"/>
      <c r="G12" s="79"/>
      <c r="H12" s="51"/>
      <c r="I12" s="98"/>
      <c r="J12" s="98"/>
      <c r="K12" s="98"/>
      <c r="L12" s="98"/>
      <c r="M12" s="98"/>
      <c r="N12" s="98"/>
      <c r="O12" s="7" t="s">
        <v>70</v>
      </c>
      <c r="P12" s="7">
        <f>COUNTIF(A:G,"فشل")</f>
        <v>0</v>
      </c>
      <c r="Q12" s="99"/>
      <c r="R12" s="99"/>
      <c r="S12" s="99"/>
      <c r="T12" s="98"/>
      <c r="U12" s="98"/>
      <c r="V12" s="98"/>
      <c r="W12" s="98"/>
      <c r="X12" s="51"/>
      <c r="Y12" s="51"/>
      <c r="Z12" s="51"/>
      <c r="AA12" s="51"/>
      <c r="AB12" s="51"/>
      <c r="AC12" s="51"/>
      <c r="AD12" s="51"/>
      <c r="AE12" s="51"/>
      <c r="AF12" s="51"/>
      <c r="AG12" s="51"/>
      <c r="AH12" s="51"/>
      <c r="AI12" s="51"/>
      <c r="AJ12" s="51"/>
      <c r="AK12" s="51"/>
      <c r="AL12" s="51"/>
    </row>
    <row r="13" spans="1:38" ht="25.2" customHeight="1">
      <c r="A13" s="4"/>
      <c r="B13" s="4"/>
      <c r="C13" s="4"/>
      <c r="D13" s="4"/>
      <c r="E13" s="23"/>
      <c r="F13" s="79"/>
      <c r="G13" s="79"/>
      <c r="H13" s="51"/>
      <c r="I13" s="98"/>
      <c r="J13" s="98"/>
      <c r="K13" s="98"/>
      <c r="L13" s="98"/>
      <c r="M13" s="98"/>
      <c r="N13" s="98"/>
      <c r="O13" s="98"/>
      <c r="P13" s="99"/>
      <c r="Q13" s="99"/>
      <c r="R13" s="99"/>
      <c r="S13" s="99"/>
      <c r="T13" s="98"/>
      <c r="U13" s="98"/>
      <c r="V13" s="98"/>
      <c r="W13" s="98"/>
      <c r="X13" s="51"/>
      <c r="Y13" s="51"/>
      <c r="Z13" s="51"/>
      <c r="AA13" s="51"/>
      <c r="AB13" s="51"/>
      <c r="AC13" s="51"/>
      <c r="AD13" s="51"/>
      <c r="AE13" s="51"/>
      <c r="AF13" s="51"/>
      <c r="AG13" s="51"/>
      <c r="AH13" s="51"/>
      <c r="AI13" s="51"/>
      <c r="AJ13" s="51"/>
      <c r="AK13" s="51"/>
      <c r="AL13" s="51"/>
    </row>
    <row r="14" spans="1:38" ht="13.2">
      <c r="A14" s="4"/>
      <c r="B14" s="4"/>
      <c r="C14" s="4"/>
      <c r="D14" s="4"/>
      <c r="E14" s="23"/>
      <c r="F14" s="79"/>
      <c r="G14" s="79"/>
      <c r="H14" s="51"/>
      <c r="I14" s="51"/>
      <c r="J14" s="51"/>
      <c r="K14" s="51"/>
      <c r="L14" s="51"/>
      <c r="M14" s="51"/>
      <c r="N14" s="51"/>
      <c r="O14" s="51"/>
      <c r="P14" s="77"/>
      <c r="Q14" s="77"/>
      <c r="R14" s="77"/>
      <c r="S14" s="77"/>
      <c r="T14" s="51"/>
      <c r="U14" s="51"/>
      <c r="V14" s="51"/>
      <c r="W14" s="51"/>
      <c r="X14" s="51"/>
      <c r="Y14" s="51"/>
      <c r="Z14" s="51"/>
      <c r="AA14" s="51"/>
      <c r="AB14" s="51"/>
      <c r="AC14" s="51"/>
      <c r="AD14" s="51"/>
      <c r="AE14" s="51"/>
      <c r="AF14" s="51"/>
      <c r="AG14" s="51"/>
      <c r="AH14" s="51"/>
      <c r="AI14" s="51"/>
      <c r="AJ14" s="51"/>
      <c r="AK14" s="51"/>
      <c r="AL14" s="51"/>
    </row>
    <row r="15" spans="1:38" ht="13.2">
      <c r="A15" s="4"/>
      <c r="B15" s="4"/>
      <c r="C15" s="4"/>
      <c r="D15" s="4"/>
      <c r="E15" s="23"/>
      <c r="F15" s="4"/>
      <c r="G15" s="4"/>
      <c r="P15" s="6"/>
      <c r="Q15" s="6"/>
      <c r="R15" s="6"/>
      <c r="S15" s="6"/>
    </row>
    <row r="16" spans="1:38" s="8" customFormat="1" ht="34.799999999999997">
      <c r="A16" s="42" t="s">
        <v>71</v>
      </c>
      <c r="B16" s="16" t="s">
        <v>72</v>
      </c>
      <c r="C16" s="16" t="s">
        <v>73</v>
      </c>
      <c r="D16" s="16" t="s">
        <v>74</v>
      </c>
      <c r="E16" s="16" t="s">
        <v>75</v>
      </c>
      <c r="F16" s="16" t="s">
        <v>76</v>
      </c>
      <c r="G16" s="16" t="s">
        <v>77</v>
      </c>
    </row>
    <row r="17" spans="1:7" ht="251.25" customHeight="1">
      <c r="A17" s="18">
        <v>1</v>
      </c>
      <c r="B17" s="9" t="s">
        <v>163</v>
      </c>
      <c r="C17" s="9" t="s">
        <v>208</v>
      </c>
      <c r="D17" s="67" t="s">
        <v>209</v>
      </c>
      <c r="E17" s="22" t="s">
        <v>210</v>
      </c>
      <c r="F17" s="10"/>
      <c r="G17" s="12"/>
    </row>
    <row r="18" spans="1:7" ht="409.6">
      <c r="A18" s="18">
        <v>2</v>
      </c>
      <c r="B18" s="9" t="s">
        <v>163</v>
      </c>
      <c r="C18" s="9" t="s">
        <v>211</v>
      </c>
      <c r="D18" s="31" t="s">
        <v>212</v>
      </c>
      <c r="E18" s="19" t="s">
        <v>213</v>
      </c>
      <c r="F18" s="13"/>
      <c r="G18" s="12"/>
    </row>
    <row r="19" spans="1:7" ht="400.5" customHeight="1">
      <c r="A19" s="18">
        <v>3</v>
      </c>
      <c r="B19" s="9" t="s">
        <v>214</v>
      </c>
      <c r="C19" s="9" t="s">
        <v>215</v>
      </c>
      <c r="D19" s="88" t="s">
        <v>216</v>
      </c>
      <c r="E19" s="19" t="s">
        <v>217</v>
      </c>
      <c r="F19" s="10"/>
      <c r="G19" s="12"/>
    </row>
    <row r="20" spans="1:7" ht="205.5" customHeight="1">
      <c r="A20" s="18">
        <v>4</v>
      </c>
      <c r="B20" s="9" t="s">
        <v>218</v>
      </c>
      <c r="C20" s="9" t="s">
        <v>219</v>
      </c>
      <c r="D20" s="31" t="s">
        <v>220</v>
      </c>
      <c r="E20" s="19" t="s">
        <v>221</v>
      </c>
      <c r="F20" s="13"/>
      <c r="G20" s="12"/>
    </row>
    <row r="21" spans="1:7" ht="79.5" customHeight="1">
      <c r="A21" s="18">
        <v>5</v>
      </c>
      <c r="B21" s="9" t="s">
        <v>218</v>
      </c>
      <c r="C21" s="9" t="s">
        <v>222</v>
      </c>
      <c r="D21" s="10" t="s">
        <v>223</v>
      </c>
      <c r="E21" s="9" t="s">
        <v>224</v>
      </c>
      <c r="F21" s="13"/>
      <c r="G21" s="12"/>
    </row>
    <row r="22" spans="1:7" ht="117" customHeight="1">
      <c r="A22" s="18">
        <v>6</v>
      </c>
      <c r="B22" s="32" t="s">
        <v>218</v>
      </c>
      <c r="C22" s="33" t="s">
        <v>225</v>
      </c>
      <c r="D22" s="13" t="s">
        <v>226</v>
      </c>
      <c r="E22" s="22" t="s">
        <v>227</v>
      </c>
      <c r="F22" s="13"/>
      <c r="G22" s="12"/>
    </row>
    <row r="23" spans="1:7" ht="99.75" customHeight="1">
      <c r="A23" s="18">
        <v>7</v>
      </c>
      <c r="B23" s="9" t="s">
        <v>218</v>
      </c>
      <c r="C23" s="33" t="s">
        <v>228</v>
      </c>
      <c r="D23" s="13" t="s">
        <v>229</v>
      </c>
      <c r="E23" s="49" t="s">
        <v>230</v>
      </c>
      <c r="F23" s="47"/>
      <c r="G23" s="12"/>
    </row>
    <row r="24" spans="1:7" ht="123.75" customHeight="1">
      <c r="A24" s="18">
        <v>8</v>
      </c>
      <c r="B24" s="26" t="s">
        <v>218</v>
      </c>
      <c r="C24" s="9" t="s">
        <v>231</v>
      </c>
      <c r="D24" s="39" t="s">
        <v>232</v>
      </c>
      <c r="E24" s="38" t="s">
        <v>233</v>
      </c>
      <c r="F24" s="47"/>
      <c r="G24" s="12"/>
    </row>
    <row r="25" spans="1:7" ht="119.25" customHeight="1">
      <c r="A25" s="18">
        <v>9</v>
      </c>
      <c r="B25" s="26" t="s">
        <v>218</v>
      </c>
      <c r="C25" s="9" t="s">
        <v>234</v>
      </c>
      <c r="D25" s="20" t="s">
        <v>235</v>
      </c>
      <c r="E25" s="38" t="s">
        <v>236</v>
      </c>
      <c r="F25" s="47"/>
      <c r="G25" s="12"/>
    </row>
    <row r="26" spans="1:7" ht="195.75" customHeight="1">
      <c r="A26" s="18">
        <v>10</v>
      </c>
      <c r="B26" s="9" t="s">
        <v>218</v>
      </c>
      <c r="C26" s="9" t="s">
        <v>237</v>
      </c>
      <c r="D26" s="10" t="s">
        <v>238</v>
      </c>
      <c r="E26" s="38" t="s">
        <v>239</v>
      </c>
      <c r="F26" s="45"/>
      <c r="G26" s="12"/>
    </row>
    <row r="27" spans="1:7" ht="195.75" customHeight="1">
      <c r="A27" s="18">
        <v>11</v>
      </c>
      <c r="B27" s="9" t="s">
        <v>218</v>
      </c>
      <c r="C27" s="9" t="s">
        <v>240</v>
      </c>
      <c r="D27" s="10" t="s">
        <v>241</v>
      </c>
      <c r="E27" s="9" t="s">
        <v>242</v>
      </c>
      <c r="F27" s="10"/>
      <c r="G27" s="14"/>
    </row>
    <row r="28" spans="1:7" ht="155.25" customHeight="1">
      <c r="A28" s="18">
        <v>12</v>
      </c>
      <c r="B28" s="26" t="s">
        <v>218</v>
      </c>
      <c r="C28" s="9" t="s">
        <v>243</v>
      </c>
      <c r="D28" s="20" t="s">
        <v>244</v>
      </c>
      <c r="E28" s="38" t="s">
        <v>245</v>
      </c>
      <c r="F28" s="47"/>
      <c r="G28" s="12"/>
    </row>
    <row r="29" spans="1:7" ht="107.25" customHeight="1">
      <c r="A29" s="18">
        <v>13</v>
      </c>
      <c r="B29" s="26" t="s">
        <v>218</v>
      </c>
      <c r="C29" s="9" t="s">
        <v>246</v>
      </c>
      <c r="D29" s="39" t="s">
        <v>247</v>
      </c>
      <c r="E29" s="38" t="s">
        <v>248</v>
      </c>
      <c r="F29" s="47"/>
      <c r="G29" s="12"/>
    </row>
    <row r="30" spans="1:7" ht="96.75" customHeight="1">
      <c r="A30" s="18">
        <v>14</v>
      </c>
      <c r="B30" s="26" t="s">
        <v>218</v>
      </c>
      <c r="C30" s="9" t="s">
        <v>249</v>
      </c>
      <c r="D30" s="20" t="s">
        <v>250</v>
      </c>
      <c r="E30" s="38" t="s">
        <v>251</v>
      </c>
      <c r="F30" s="47"/>
      <c r="G30" s="12"/>
    </row>
    <row r="31" spans="1:7" ht="135" customHeight="1">
      <c r="A31" s="18">
        <v>15</v>
      </c>
      <c r="B31" s="26" t="s">
        <v>218</v>
      </c>
      <c r="C31" s="9" t="s">
        <v>252</v>
      </c>
      <c r="D31" s="44" t="s">
        <v>253</v>
      </c>
      <c r="E31" s="49" t="s">
        <v>254</v>
      </c>
      <c r="F31" s="47"/>
      <c r="G31" s="12"/>
    </row>
    <row r="32" spans="1:7" ht="135" customHeight="1">
      <c r="A32" s="18">
        <v>16</v>
      </c>
      <c r="B32" s="26" t="s">
        <v>218</v>
      </c>
      <c r="C32" s="9" t="s">
        <v>255</v>
      </c>
      <c r="D32" s="10" t="s">
        <v>256</v>
      </c>
      <c r="E32" s="38" t="s">
        <v>257</v>
      </c>
      <c r="F32" s="45"/>
      <c r="G32" s="12"/>
    </row>
    <row r="33" spans="1:7" ht="96.75" customHeight="1">
      <c r="A33" s="18">
        <v>17</v>
      </c>
      <c r="B33" s="32" t="s">
        <v>218</v>
      </c>
      <c r="C33" s="33" t="s">
        <v>258</v>
      </c>
      <c r="D33" s="20" t="s">
        <v>259</v>
      </c>
      <c r="E33" s="9" t="s">
        <v>260</v>
      </c>
      <c r="F33" s="50"/>
      <c r="G33" s="12"/>
    </row>
    <row r="34" spans="1:7" ht="30">
      <c r="E34" s="24"/>
      <c r="G34" s="1"/>
    </row>
    <row r="35" spans="1:7" ht="30">
      <c r="E35" s="24"/>
      <c r="G35" s="1"/>
    </row>
    <row r="36" spans="1:7" ht="30">
      <c r="E36" s="24"/>
      <c r="G36" s="1"/>
    </row>
    <row r="37" spans="1:7" ht="30">
      <c r="E37" s="24"/>
      <c r="G37" s="1"/>
    </row>
    <row r="38" spans="1:7" ht="30">
      <c r="E38" s="24"/>
      <c r="G38" s="1"/>
    </row>
    <row r="39" spans="1:7" ht="30">
      <c r="E39" s="24"/>
      <c r="G39" s="1"/>
    </row>
    <row r="40" spans="1:7" ht="30">
      <c r="E40" s="24"/>
      <c r="G40" s="1"/>
    </row>
    <row r="41" spans="1:7" ht="49.2" customHeight="1">
      <c r="E41" s="24"/>
      <c r="G41" s="1"/>
    </row>
    <row r="42" spans="1:7" ht="30">
      <c r="E42" s="24"/>
      <c r="G42" s="1"/>
    </row>
    <row r="43" spans="1:7" ht="30">
      <c r="E43" s="24"/>
      <c r="G43" s="1"/>
    </row>
    <row r="44" spans="1:7" ht="30">
      <c r="E44" s="24"/>
      <c r="G44" s="1"/>
    </row>
    <row r="45" spans="1:7" ht="30">
      <c r="E45" s="24"/>
      <c r="G45" s="1"/>
    </row>
    <row r="46" spans="1:7" ht="30">
      <c r="E46" s="24"/>
      <c r="G46" s="1"/>
    </row>
    <row r="47" spans="1:7" ht="30">
      <c r="E47" s="24"/>
      <c r="G47" s="1"/>
    </row>
    <row r="48" spans="1:7" ht="30">
      <c r="E48" s="24"/>
      <c r="G48" s="1"/>
    </row>
    <row r="49" spans="5:7" ht="42.6" customHeight="1">
      <c r="E49" s="24"/>
      <c r="G49" s="1"/>
    </row>
    <row r="50" spans="5:7" ht="30">
      <c r="E50" s="24"/>
      <c r="G50" s="1"/>
    </row>
    <row r="51" spans="5:7" ht="34.200000000000003" customHeight="1">
      <c r="E51" s="24"/>
      <c r="G51" s="1"/>
    </row>
    <row r="52" spans="5:7" ht="45.6" customHeight="1">
      <c r="E52" s="24"/>
      <c r="G52" s="1"/>
    </row>
    <row r="53" spans="5:7" ht="40.950000000000003" customHeight="1">
      <c r="E53" s="24"/>
      <c r="G53" s="1"/>
    </row>
    <row r="54" spans="5:7" ht="42.6" customHeight="1">
      <c r="E54" s="24"/>
      <c r="G54" s="1"/>
    </row>
    <row r="55" spans="5:7" ht="30">
      <c r="E55" s="24"/>
      <c r="G55" s="1"/>
    </row>
    <row r="56" spans="5:7" ht="46.95" customHeight="1">
      <c r="E56" s="24"/>
      <c r="G56" s="1"/>
    </row>
    <row r="57" spans="5:7" ht="43.95" customHeight="1">
      <c r="E57" s="24"/>
      <c r="G57" s="1"/>
    </row>
    <row r="58" spans="5:7" ht="52.95" customHeight="1">
      <c r="E58" s="24"/>
      <c r="G58" s="1"/>
    </row>
    <row r="59" spans="5:7" ht="30">
      <c r="E59" s="24"/>
      <c r="G59" s="1"/>
    </row>
    <row r="60" spans="5:7" ht="30">
      <c r="E60" s="24"/>
      <c r="G60" s="1"/>
    </row>
    <row r="61" spans="5:7" ht="30">
      <c r="E61" s="24"/>
      <c r="G61" s="1"/>
    </row>
    <row r="62" spans="5:7" ht="51" customHeight="1">
      <c r="E62" s="24"/>
      <c r="G62" s="1"/>
    </row>
    <row r="63" spans="5:7" ht="37.950000000000003" customHeight="1">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30">
      <c r="E894" s="24"/>
      <c r="G894" s="1"/>
    </row>
    <row r="895" spans="5:7" ht="30">
      <c r="E895" s="24"/>
      <c r="G895" s="1"/>
    </row>
    <row r="896" spans="5:7" ht="30">
      <c r="E896" s="24"/>
      <c r="G896" s="1"/>
    </row>
    <row r="897" spans="5:7" ht="30">
      <c r="E897" s="24"/>
      <c r="G897" s="1"/>
    </row>
    <row r="898" spans="5:7" ht="30">
      <c r="E898" s="24"/>
      <c r="G898" s="1"/>
    </row>
    <row r="899" spans="5:7" ht="30">
      <c r="E899" s="24"/>
      <c r="G899" s="1"/>
    </row>
    <row r="900" spans="5:7" ht="30">
      <c r="E900" s="24"/>
      <c r="G900" s="1"/>
    </row>
    <row r="901" spans="5:7" ht="30">
      <c r="E901" s="24"/>
      <c r="G901" s="1"/>
    </row>
    <row r="902" spans="5:7" ht="30">
      <c r="E902" s="24"/>
      <c r="G902" s="1"/>
    </row>
    <row r="903" spans="5:7" ht="30">
      <c r="E903" s="24"/>
      <c r="G903" s="1"/>
    </row>
    <row r="904" spans="5:7" ht="30">
      <c r="E904" s="24"/>
      <c r="G904" s="1"/>
    </row>
    <row r="905" spans="5:7" ht="30">
      <c r="E905" s="24"/>
      <c r="G905" s="1"/>
    </row>
    <row r="906" spans="5:7" ht="30">
      <c r="E906" s="24"/>
      <c r="G906" s="1"/>
    </row>
    <row r="907" spans="5:7" ht="13.2"/>
    <row r="908" spans="5:7" ht="13.2"/>
    <row r="909" spans="5:7" ht="13.2"/>
    <row r="910" spans="5:7" ht="13.2"/>
    <row r="911" spans="5:7" ht="13.2"/>
    <row r="912" spans="5:7" ht="13.2"/>
  </sheetData>
  <mergeCells count="1">
    <mergeCell ref="A1:G4"/>
  </mergeCells>
  <conditionalFormatting sqref="E17 E22 E24 E34:E906">
    <cfRule type="containsText" dxfId="11" priority="14" operator="containsText" text="فشل">
      <formula>NOT(ISERROR(SEARCH(("فشل"),(E17))))</formula>
    </cfRule>
  </conditionalFormatting>
  <conditionalFormatting sqref="E21:E22">
    <cfRule type="containsText" dxfId="10" priority="11" operator="containsText" text="نجح">
      <formula>NOT(ISERROR(SEARCH(("نجح"),(E21))))</formula>
    </cfRule>
    <cfRule type="containsText" dxfId="9" priority="12" operator="containsText" text="فشل">
      <formula>NOT(ISERROR(SEARCH(("فشل"),(E21))))</formula>
    </cfRule>
  </conditionalFormatting>
  <conditionalFormatting sqref="E22 E17 E24 E34:E906">
    <cfRule type="containsText" dxfId="8" priority="13" operator="containsText" text="نجح">
      <formula>NOT(ISERROR(SEARCH(("نجح"),(E17))))</formula>
    </cfRule>
  </conditionalFormatting>
  <conditionalFormatting sqref="E28:E29">
    <cfRule type="containsText" dxfId="7" priority="1" operator="containsText" text="نجح">
      <formula>NOT(ISERROR(SEARCH(("نجح"),(E28))))</formula>
    </cfRule>
    <cfRule type="containsText" dxfId="6" priority="2" operator="containsText" text="فشل">
      <formula>NOT(ISERROR(SEARCH(("فشل"),(E28))))</formula>
    </cfRule>
  </conditionalFormatting>
  <dataValidations count="3">
    <dataValidation showDropDown="1" showInputMessage="1" showErrorMessage="1" sqref="C6:D6" xr:uid="{92ABF68A-8269-48F1-B3C5-9500A060E05F}"/>
    <dataValidation type="list" allowBlank="1" showInputMessage="1" showErrorMessage="1" sqref="F30:F32 F23" xr:uid="{F3ED9425-EC67-422C-B2ED-4A6CC74DD4BE}">
      <formula1>$F$9:$F$10</formula1>
    </dataValidation>
    <dataValidation type="list" allowBlank="1" showInputMessage="1" showErrorMessage="1" sqref="G17:G33" xr:uid="{8BAAA5F9-48EC-467F-A5D8-F368684C46B4}">
      <formula1>$O$10:$O$12</formula1>
    </dataValidation>
  </dataValidations>
  <pageMargins left="0.7" right="0.7" top="0.75" bottom="0.75" header="0.3" footer="0.3"/>
  <pageSetup paperSize="9" orientation="portrait"/>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EAB7-3840-4434-8258-43968621AB2F}">
  <sheetPr>
    <outlinePr summaryBelow="0" summaryRight="0"/>
  </sheetPr>
  <dimension ref="A1:T897"/>
  <sheetViews>
    <sheetView rightToLeft="1" zoomScale="30" zoomScaleNormal="30" workbookViewId="0">
      <selection activeCell="C18" sqref="C18"/>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20" ht="15.75" customHeight="1">
      <c r="A1" s="140"/>
      <c r="B1" s="140"/>
      <c r="C1" s="140"/>
      <c r="D1" s="140"/>
      <c r="E1" s="140"/>
      <c r="F1" s="140"/>
      <c r="G1" s="140"/>
    </row>
    <row r="2" spans="1:20" ht="15.75" customHeight="1">
      <c r="A2" s="140"/>
      <c r="B2" s="140"/>
      <c r="C2" s="140"/>
      <c r="D2" s="140"/>
      <c r="E2" s="140"/>
      <c r="F2" s="140"/>
      <c r="G2" s="140"/>
    </row>
    <row r="3" spans="1:20" ht="15.75" customHeight="1">
      <c r="A3" s="140"/>
      <c r="B3" s="140"/>
      <c r="C3" s="140"/>
      <c r="D3" s="140"/>
      <c r="E3" s="140"/>
      <c r="F3" s="140"/>
      <c r="G3" s="140"/>
    </row>
    <row r="4" spans="1:20" ht="60.75" customHeight="1">
      <c r="A4" s="141"/>
      <c r="B4" s="141"/>
      <c r="C4" s="141"/>
      <c r="D4" s="141"/>
      <c r="E4" s="141"/>
      <c r="F4" s="141"/>
      <c r="G4" s="141"/>
    </row>
    <row r="5" spans="1:20" ht="1.2" customHeight="1">
      <c r="A5" s="4"/>
      <c r="B5" s="4"/>
      <c r="C5" s="4"/>
      <c r="D5" s="4"/>
      <c r="E5" s="23"/>
      <c r="F5" s="4"/>
      <c r="G5" s="4"/>
    </row>
    <row r="6" spans="1:20" ht="22.8">
      <c r="A6" s="4"/>
      <c r="B6" s="4"/>
      <c r="C6" s="5"/>
      <c r="D6" s="5"/>
      <c r="E6" s="23"/>
      <c r="F6" s="79"/>
      <c r="G6" s="79"/>
      <c r="H6" s="51"/>
      <c r="I6" s="51"/>
      <c r="J6" s="51"/>
      <c r="K6" s="51"/>
      <c r="L6" s="51"/>
      <c r="M6" s="51"/>
      <c r="N6" s="51"/>
      <c r="O6" s="51"/>
      <c r="P6" s="51"/>
      <c r="Q6" s="51"/>
      <c r="R6" s="51"/>
      <c r="S6" s="51"/>
      <c r="T6" s="51"/>
    </row>
    <row r="7" spans="1:20" ht="22.8">
      <c r="A7" s="4"/>
      <c r="B7" s="4"/>
      <c r="C7" s="5"/>
      <c r="D7" s="5"/>
      <c r="E7" s="23"/>
      <c r="F7" s="79"/>
      <c r="G7" s="79"/>
      <c r="H7" s="51"/>
      <c r="I7" s="51"/>
      <c r="J7" s="51"/>
      <c r="K7" s="51"/>
      <c r="L7" s="51"/>
      <c r="M7" s="51"/>
      <c r="N7" s="51"/>
      <c r="O7" s="77"/>
      <c r="P7" s="77"/>
      <c r="Q7" s="77"/>
      <c r="R7" s="77"/>
      <c r="S7" s="77"/>
      <c r="T7" s="51"/>
    </row>
    <row r="8" spans="1:20" ht="33.6" customHeight="1">
      <c r="A8" s="41" t="s">
        <v>65</v>
      </c>
      <c r="B8" s="53" t="s">
        <v>66</v>
      </c>
      <c r="C8" s="5"/>
      <c r="D8" s="5"/>
      <c r="E8" s="23"/>
      <c r="F8" s="79"/>
      <c r="G8" s="79"/>
      <c r="H8" s="51"/>
      <c r="I8" s="51"/>
      <c r="J8" s="51"/>
      <c r="K8" s="51"/>
      <c r="L8" s="51"/>
      <c r="M8" s="51"/>
      <c r="N8" s="51"/>
      <c r="O8" s="77"/>
      <c r="P8" s="77"/>
      <c r="Q8" s="77"/>
      <c r="R8" s="77"/>
      <c r="S8" s="77"/>
      <c r="T8" s="51"/>
    </row>
    <row r="9" spans="1:20" ht="51.75" customHeight="1">
      <c r="A9" s="30" t="s">
        <v>67</v>
      </c>
      <c r="B9" s="40" t="s">
        <v>261</v>
      </c>
      <c r="C9" s="5"/>
      <c r="D9" s="5"/>
      <c r="E9" s="23"/>
      <c r="F9" s="79"/>
      <c r="G9" s="79"/>
      <c r="H9" s="51"/>
      <c r="I9" s="51"/>
      <c r="J9" s="51"/>
      <c r="K9" s="51"/>
      <c r="L9" s="51"/>
      <c r="M9" s="51"/>
      <c r="N9" s="51"/>
      <c r="O9" s="77"/>
      <c r="P9" s="77"/>
      <c r="Q9" s="77"/>
      <c r="R9" s="77"/>
      <c r="S9" s="77"/>
      <c r="T9" s="51"/>
    </row>
    <row r="10" spans="1:20" ht="39" customHeight="1">
      <c r="A10" s="4"/>
      <c r="B10" s="4"/>
      <c r="C10" s="4"/>
      <c r="D10" s="4"/>
      <c r="E10" s="23"/>
      <c r="F10" s="79"/>
      <c r="G10" s="79"/>
      <c r="H10" s="51"/>
      <c r="I10" s="51"/>
      <c r="J10" s="51"/>
      <c r="K10" s="51"/>
      <c r="L10" s="51"/>
      <c r="M10" s="51"/>
      <c r="N10" s="81"/>
      <c r="O10" s="7" t="s">
        <v>69</v>
      </c>
      <c r="P10" s="7">
        <f>COUNTIF(A:G,"نجح")</f>
        <v>0</v>
      </c>
      <c r="Q10" s="77"/>
      <c r="R10" s="77"/>
      <c r="S10" s="77"/>
      <c r="T10" s="51"/>
    </row>
    <row r="11" spans="1:20" ht="48" customHeight="1">
      <c r="A11" s="4"/>
      <c r="B11" s="4"/>
      <c r="C11" s="4"/>
      <c r="D11" s="4"/>
      <c r="E11" s="23"/>
      <c r="F11" s="79"/>
      <c r="G11" s="79"/>
      <c r="H11" s="51"/>
      <c r="I11" s="51"/>
      <c r="J11" s="51"/>
      <c r="K11" s="51"/>
      <c r="L11" s="51"/>
      <c r="M11" s="51"/>
      <c r="N11" s="81"/>
      <c r="O11" s="7"/>
      <c r="P11" s="7"/>
      <c r="Q11" s="77"/>
      <c r="R11" s="77"/>
      <c r="S11" s="77"/>
      <c r="T11" s="51"/>
    </row>
    <row r="12" spans="1:20" ht="68.25" customHeight="1">
      <c r="A12" s="4"/>
      <c r="B12" s="4"/>
      <c r="C12" s="4"/>
      <c r="D12" s="4"/>
      <c r="E12" s="23"/>
      <c r="F12" s="79"/>
      <c r="G12" s="79"/>
      <c r="H12" s="51"/>
      <c r="I12" s="51"/>
      <c r="J12" s="51"/>
      <c r="K12" s="51"/>
      <c r="L12" s="51"/>
      <c r="M12" s="51"/>
      <c r="N12" s="81"/>
      <c r="O12" s="7" t="s">
        <v>70</v>
      </c>
      <c r="P12" s="7">
        <f>COUNTIF(A:G,"فشل")</f>
        <v>0</v>
      </c>
      <c r="Q12" s="77"/>
      <c r="R12" s="77"/>
      <c r="S12" s="77"/>
      <c r="T12" s="51"/>
    </row>
    <row r="13" spans="1:20" ht="25.2" customHeight="1">
      <c r="A13" s="4"/>
      <c r="B13" s="4"/>
      <c r="C13" s="4"/>
      <c r="D13" s="4"/>
      <c r="E13" s="23"/>
      <c r="F13" s="4"/>
      <c r="G13" s="4"/>
      <c r="H13" s="51"/>
      <c r="I13" s="51"/>
      <c r="J13" s="51"/>
      <c r="K13" s="51"/>
      <c r="L13" s="51"/>
      <c r="M13" s="51"/>
      <c r="N13" s="81"/>
      <c r="O13" s="81"/>
      <c r="P13" s="7"/>
      <c r="Q13" s="77"/>
      <c r="R13" s="77"/>
      <c r="S13" s="77"/>
    </row>
    <row r="14" spans="1:20" ht="13.2">
      <c r="A14" s="4"/>
      <c r="B14" s="4"/>
      <c r="C14" s="4"/>
      <c r="D14" s="4"/>
      <c r="E14" s="23"/>
      <c r="F14" s="4"/>
      <c r="G14" s="4"/>
      <c r="H14" s="51"/>
      <c r="I14" s="51"/>
      <c r="J14" s="51"/>
      <c r="K14" s="51"/>
      <c r="L14" s="51"/>
      <c r="M14" s="51"/>
      <c r="N14" s="81"/>
      <c r="O14" s="81"/>
      <c r="P14" s="7"/>
      <c r="Q14" s="77"/>
      <c r="R14" s="77"/>
      <c r="S14" s="77"/>
    </row>
    <row r="15" spans="1:20" ht="13.2">
      <c r="A15" s="4"/>
      <c r="B15" s="4"/>
      <c r="C15" s="4"/>
      <c r="D15" s="4"/>
      <c r="E15" s="23"/>
      <c r="F15" s="4"/>
      <c r="G15" s="4"/>
      <c r="H15" s="51"/>
      <c r="I15" s="51"/>
      <c r="J15" s="51"/>
      <c r="K15" s="51"/>
      <c r="L15" s="51"/>
      <c r="M15" s="51"/>
      <c r="N15" s="81"/>
      <c r="O15" s="81"/>
      <c r="P15" s="7"/>
      <c r="Q15" s="77"/>
      <c r="R15" s="77"/>
      <c r="S15" s="77"/>
    </row>
    <row r="16" spans="1:20" s="8" customFormat="1" ht="34.799999999999997">
      <c r="A16" s="42" t="s">
        <v>71</v>
      </c>
      <c r="B16" s="16" t="s">
        <v>72</v>
      </c>
      <c r="C16" s="16" t="s">
        <v>73</v>
      </c>
      <c r="D16" s="16" t="s">
        <v>74</v>
      </c>
      <c r="E16" s="16" t="s">
        <v>75</v>
      </c>
      <c r="F16" s="16" t="s">
        <v>76</v>
      </c>
      <c r="G16" s="16" t="s">
        <v>77</v>
      </c>
      <c r="H16" s="52"/>
      <c r="I16" s="52"/>
      <c r="J16" s="52"/>
      <c r="K16" s="52"/>
      <c r="L16" s="52"/>
      <c r="M16" s="52"/>
      <c r="N16" s="52"/>
      <c r="O16" s="52"/>
      <c r="P16" s="52"/>
      <c r="Q16" s="52"/>
      <c r="R16" s="52"/>
      <c r="S16" s="52"/>
    </row>
    <row r="17" spans="1:19" ht="252" customHeight="1">
      <c r="A17" s="18">
        <v>1</v>
      </c>
      <c r="B17" s="9" t="s">
        <v>218</v>
      </c>
      <c r="C17" s="9" t="s">
        <v>261</v>
      </c>
      <c r="D17" s="68" t="s">
        <v>262</v>
      </c>
      <c r="E17" s="37" t="s">
        <v>263</v>
      </c>
      <c r="F17" s="10"/>
      <c r="G17" s="12"/>
      <c r="H17" s="51"/>
      <c r="I17" s="51"/>
      <c r="J17" s="51"/>
      <c r="K17" s="51"/>
      <c r="L17" s="51"/>
      <c r="M17" s="51"/>
      <c r="N17" s="51"/>
      <c r="O17" s="51"/>
      <c r="P17" s="51"/>
      <c r="Q17" s="51"/>
      <c r="R17" s="51"/>
      <c r="S17" s="51"/>
    </row>
    <row r="18" spans="1:19" ht="233.25" customHeight="1">
      <c r="A18" s="18">
        <v>2</v>
      </c>
      <c r="B18" s="9" t="s">
        <v>264</v>
      </c>
      <c r="C18" s="9" t="s">
        <v>265</v>
      </c>
      <c r="D18" s="68" t="s">
        <v>266</v>
      </c>
      <c r="E18" s="37" t="s">
        <v>267</v>
      </c>
      <c r="F18" s="13"/>
      <c r="G18" s="12"/>
    </row>
    <row r="19" spans="1:19" ht="30">
      <c r="E19" s="24"/>
      <c r="G19" s="1"/>
    </row>
    <row r="20" spans="1:19" ht="30">
      <c r="E20" s="24"/>
      <c r="G20" s="1"/>
    </row>
    <row r="21" spans="1:19" ht="30">
      <c r="E21" s="24"/>
      <c r="G21" s="1"/>
    </row>
    <row r="22" spans="1:19" ht="30">
      <c r="E22" s="24"/>
      <c r="G22" s="1"/>
    </row>
    <row r="23" spans="1:19" ht="30">
      <c r="E23" s="24"/>
      <c r="G23" s="1"/>
    </row>
    <row r="24" spans="1:19" ht="30">
      <c r="E24" s="24"/>
      <c r="G24" s="1"/>
    </row>
    <row r="25" spans="1:19" ht="30">
      <c r="E25" s="24"/>
      <c r="G25" s="1"/>
    </row>
    <row r="26" spans="1:19" ht="49.2" customHeight="1">
      <c r="E26" s="24"/>
      <c r="G26" s="1"/>
    </row>
    <row r="27" spans="1:19" ht="30">
      <c r="E27" s="24"/>
      <c r="G27" s="1"/>
    </row>
    <row r="28" spans="1:19" ht="30">
      <c r="E28" s="24"/>
      <c r="G28" s="1"/>
    </row>
    <row r="29" spans="1:19" ht="30">
      <c r="E29" s="24"/>
      <c r="G29" s="1"/>
    </row>
    <row r="30" spans="1:19" ht="30">
      <c r="E30" s="24"/>
      <c r="G30" s="1"/>
    </row>
    <row r="31" spans="1:19" ht="30">
      <c r="E31" s="24"/>
      <c r="G31" s="1"/>
    </row>
    <row r="32" spans="1:19" ht="30">
      <c r="E32" s="24"/>
      <c r="G32" s="1"/>
    </row>
    <row r="33" spans="5:7" ht="30">
      <c r="E33" s="24"/>
      <c r="G33" s="1"/>
    </row>
    <row r="34" spans="5:7" ht="42.6" customHeight="1">
      <c r="E34" s="24"/>
      <c r="G34" s="1"/>
    </row>
    <row r="35" spans="5:7" ht="30">
      <c r="E35" s="24"/>
      <c r="G35" s="1"/>
    </row>
    <row r="36" spans="5:7" ht="34.200000000000003" customHeight="1">
      <c r="E36" s="24"/>
      <c r="G36" s="1"/>
    </row>
    <row r="37" spans="5:7" ht="45.6" customHeight="1">
      <c r="E37" s="24"/>
      <c r="G37" s="1"/>
    </row>
    <row r="38" spans="5:7" ht="40.950000000000003" customHeight="1">
      <c r="E38" s="24"/>
      <c r="G38" s="1"/>
    </row>
    <row r="39" spans="5:7" ht="42.6" customHeight="1">
      <c r="E39" s="24"/>
      <c r="G39" s="1"/>
    </row>
    <row r="40" spans="5:7" ht="30">
      <c r="E40" s="24"/>
      <c r="G40" s="1"/>
    </row>
    <row r="41" spans="5:7" ht="46.95" customHeight="1">
      <c r="E41" s="24"/>
      <c r="G41" s="1"/>
    </row>
    <row r="42" spans="5:7" ht="43.95" customHeight="1">
      <c r="E42" s="24"/>
      <c r="G42" s="1"/>
    </row>
    <row r="43" spans="5:7" ht="52.95" customHeight="1">
      <c r="E43" s="24"/>
      <c r="G43" s="1"/>
    </row>
    <row r="44" spans="5:7" ht="30">
      <c r="E44" s="24"/>
      <c r="G44" s="1"/>
    </row>
    <row r="45" spans="5:7" ht="30">
      <c r="E45" s="24"/>
      <c r="G45" s="1"/>
    </row>
    <row r="46" spans="5:7" ht="30">
      <c r="E46" s="24"/>
      <c r="G46" s="1"/>
    </row>
    <row r="47" spans="5:7" ht="51" customHeight="1">
      <c r="E47" s="24"/>
      <c r="G47" s="1"/>
    </row>
    <row r="48" spans="5:7" ht="37.950000000000003" customHeight="1">
      <c r="E48" s="24"/>
      <c r="G48" s="1"/>
    </row>
    <row r="49" spans="5:7" ht="30">
      <c r="E49" s="24"/>
      <c r="G49" s="1"/>
    </row>
    <row r="50" spans="5:7" ht="30">
      <c r="E50" s="24"/>
      <c r="G50" s="1"/>
    </row>
    <row r="51" spans="5:7" ht="30">
      <c r="E51" s="24"/>
      <c r="G51" s="1"/>
    </row>
    <row r="52" spans="5:7" ht="30">
      <c r="E52" s="24"/>
      <c r="G52" s="1"/>
    </row>
    <row r="53" spans="5:7" ht="30">
      <c r="E53" s="24"/>
      <c r="G53" s="1"/>
    </row>
    <row r="54" spans="5:7" ht="30">
      <c r="E54" s="24"/>
      <c r="G54" s="1"/>
    </row>
    <row r="55" spans="5:7" ht="30">
      <c r="E55" s="24"/>
      <c r="G55" s="1"/>
    </row>
    <row r="56" spans="5:7" ht="30">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13.2"/>
    <row r="893" spans="5:7" ht="13.2"/>
    <row r="894" spans="5:7" ht="13.2"/>
    <row r="895" spans="5:7" ht="13.2"/>
    <row r="896" spans="5:7" ht="13.2"/>
    <row r="897" ht="13.2"/>
  </sheetData>
  <mergeCells count="1">
    <mergeCell ref="A1:G4"/>
  </mergeCells>
  <conditionalFormatting sqref="E19:E891">
    <cfRule type="containsText" dxfId="5" priority="5" operator="containsText" text="نجح">
      <formula>NOT(ISERROR(SEARCH(("نجح"),(E19))))</formula>
    </cfRule>
    <cfRule type="containsText" dxfId="4" priority="6" operator="containsText" text="فشل">
      <formula>NOT(ISERROR(SEARCH(("فشل"),(E19))))</formula>
    </cfRule>
  </conditionalFormatting>
  <dataValidations count="2">
    <dataValidation type="list" allowBlank="1" showInputMessage="1" showErrorMessage="1" sqref="G17:G18" xr:uid="{2318C4D0-C0C9-4BB1-B47B-79D0F0D7894E}">
      <formula1>$O$10:$O$12</formula1>
    </dataValidation>
    <dataValidation showDropDown="1" showInputMessage="1" showErrorMessage="1" sqref="C6:D6" xr:uid="{9C5984D3-0153-47C6-8896-156D12ED1904}"/>
  </dataValidations>
  <pageMargins left="0.7" right="0.7" top="0.75" bottom="0.75" header="0.3" footer="0.3"/>
  <pageSetup paperSize="9" orientation="portrait"/>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8D10A-0EF1-468F-A1CF-46532F90A612}">
  <sheetPr>
    <outlinePr summaryBelow="0" summaryRight="0"/>
  </sheetPr>
  <dimension ref="A1:U899"/>
  <sheetViews>
    <sheetView rightToLeft="1" zoomScale="30" zoomScaleNormal="30" workbookViewId="0">
      <selection activeCell="D17" sqref="D17"/>
    </sheetView>
  </sheetViews>
  <sheetFormatPr defaultColWidth="12.6640625" defaultRowHeight="15.75" customHeight="1"/>
  <cols>
    <col min="1" max="1" width="24" customWidth="1"/>
    <col min="2" max="2" width="72.5546875" customWidth="1"/>
    <col min="3" max="3" width="108.44140625" customWidth="1"/>
    <col min="4" max="4" width="193.6640625" customWidth="1"/>
    <col min="5" max="5" width="60.5546875" style="25" bestFit="1" customWidth="1"/>
    <col min="6" max="6" width="60.44140625" bestFit="1" customWidth="1"/>
    <col min="7" max="7" width="54" customWidth="1"/>
    <col min="8" max="8" width="38.88671875" customWidth="1"/>
    <col min="9" max="15" width="9.109375"/>
    <col min="16" max="16" width="14" customWidth="1"/>
    <col min="17" max="17" width="19.88671875" customWidth="1"/>
  </cols>
  <sheetData>
    <row r="1" spans="1:21" ht="15.75" customHeight="1">
      <c r="A1" s="140"/>
      <c r="B1" s="140"/>
      <c r="C1" s="140"/>
      <c r="D1" s="140"/>
      <c r="E1" s="140"/>
      <c r="F1" s="140"/>
      <c r="G1" s="140"/>
      <c r="H1" s="51"/>
      <c r="I1" s="51"/>
      <c r="J1" s="51"/>
      <c r="K1" s="51"/>
      <c r="L1" s="51"/>
      <c r="M1" s="51"/>
      <c r="N1" s="51"/>
      <c r="O1" s="51"/>
      <c r="P1" s="51"/>
      <c r="Q1" s="51"/>
      <c r="R1" s="51"/>
      <c r="S1" s="51"/>
      <c r="T1" s="51"/>
      <c r="U1" s="51"/>
    </row>
    <row r="2" spans="1:21" ht="15.75" customHeight="1">
      <c r="A2" s="140"/>
      <c r="B2" s="140"/>
      <c r="C2" s="140"/>
      <c r="D2" s="140"/>
      <c r="E2" s="140"/>
      <c r="F2" s="140"/>
      <c r="G2" s="140"/>
      <c r="H2" s="51"/>
      <c r="I2" s="51"/>
      <c r="J2" s="51"/>
      <c r="K2" s="51"/>
      <c r="L2" s="51"/>
      <c r="M2" s="51"/>
      <c r="N2" s="51"/>
      <c r="O2" s="51"/>
      <c r="P2" s="51"/>
      <c r="Q2" s="51"/>
      <c r="R2" s="51"/>
      <c r="S2" s="51"/>
      <c r="T2" s="51"/>
      <c r="U2" s="51"/>
    </row>
    <row r="3" spans="1:21" ht="15.75" customHeight="1">
      <c r="A3" s="140"/>
      <c r="B3" s="140"/>
      <c r="C3" s="140"/>
      <c r="D3" s="140"/>
      <c r="E3" s="140"/>
      <c r="F3" s="140"/>
      <c r="G3" s="140"/>
      <c r="H3" s="51"/>
      <c r="I3" s="51"/>
      <c r="J3" s="51"/>
      <c r="K3" s="51"/>
      <c r="L3" s="51"/>
      <c r="M3" s="51"/>
      <c r="N3" s="51"/>
      <c r="O3" s="51"/>
      <c r="P3" s="51"/>
      <c r="Q3" s="51"/>
      <c r="R3" s="51"/>
      <c r="S3" s="51"/>
      <c r="T3" s="51"/>
      <c r="U3" s="51"/>
    </row>
    <row r="4" spans="1:21" ht="60.75" customHeight="1">
      <c r="A4" s="141"/>
      <c r="B4" s="141"/>
      <c r="C4" s="141"/>
      <c r="D4" s="141"/>
      <c r="E4" s="141"/>
      <c r="F4" s="141"/>
      <c r="G4" s="141"/>
      <c r="H4" s="51"/>
      <c r="I4" s="51"/>
      <c r="J4" s="51"/>
      <c r="K4" s="51"/>
      <c r="L4" s="51"/>
      <c r="M4" s="51"/>
      <c r="N4" s="51"/>
      <c r="O4" s="51"/>
      <c r="P4" s="51"/>
      <c r="Q4" s="51"/>
      <c r="R4" s="51"/>
      <c r="S4" s="51"/>
      <c r="T4" s="51"/>
      <c r="U4" s="51"/>
    </row>
    <row r="5" spans="1:21" ht="1.2" customHeight="1">
      <c r="A5" s="4"/>
      <c r="B5" s="4"/>
      <c r="C5" s="4"/>
      <c r="D5" s="4"/>
      <c r="E5" s="23"/>
      <c r="F5" s="4"/>
      <c r="G5" s="4"/>
      <c r="H5" s="51"/>
      <c r="I5" s="51"/>
      <c r="J5" s="51"/>
      <c r="K5" s="51"/>
      <c r="L5" s="51"/>
      <c r="M5" s="51"/>
      <c r="N5" s="51"/>
      <c r="O5" s="51"/>
      <c r="P5" s="51"/>
      <c r="Q5" s="51"/>
      <c r="R5" s="51"/>
      <c r="S5" s="51"/>
      <c r="T5" s="51"/>
      <c r="U5" s="51"/>
    </row>
    <row r="6" spans="1:21" ht="22.8">
      <c r="A6" s="4"/>
      <c r="B6" s="4"/>
      <c r="C6" s="5"/>
      <c r="D6" s="5"/>
      <c r="E6" s="23"/>
      <c r="F6" s="4"/>
      <c r="G6" s="4"/>
      <c r="H6" s="51"/>
      <c r="I6" s="51"/>
      <c r="J6" s="51"/>
      <c r="K6" s="51"/>
      <c r="L6" s="51"/>
      <c r="M6" s="51"/>
      <c r="N6" s="51"/>
      <c r="O6" s="51"/>
      <c r="P6" s="51"/>
      <c r="Q6" s="51"/>
      <c r="R6" s="51"/>
      <c r="S6" s="51"/>
      <c r="T6" s="51"/>
      <c r="U6" s="51"/>
    </row>
    <row r="7" spans="1:21" ht="22.8">
      <c r="A7" s="4"/>
      <c r="B7" s="4"/>
      <c r="C7" s="5"/>
      <c r="D7" s="5"/>
      <c r="E7" s="85"/>
      <c r="F7" s="79"/>
      <c r="G7" s="79"/>
      <c r="H7" s="51"/>
      <c r="I7" s="51"/>
      <c r="J7" s="51"/>
      <c r="K7" s="51"/>
      <c r="L7" s="51"/>
      <c r="M7" s="51"/>
      <c r="N7" s="51"/>
      <c r="O7" s="77"/>
      <c r="P7" s="77"/>
      <c r="Q7" s="77"/>
      <c r="R7" s="77"/>
      <c r="S7" s="77"/>
      <c r="T7" s="51"/>
      <c r="U7" s="51"/>
    </row>
    <row r="8" spans="1:21" ht="33.6" customHeight="1">
      <c r="A8" s="41" t="s">
        <v>65</v>
      </c>
      <c r="B8" s="53" t="s">
        <v>66</v>
      </c>
      <c r="C8" s="5"/>
      <c r="D8" s="5"/>
      <c r="E8" s="85"/>
      <c r="F8" s="79"/>
      <c r="G8" s="79"/>
      <c r="H8" s="51"/>
      <c r="I8" s="51"/>
      <c r="J8" s="51"/>
      <c r="K8" s="51"/>
      <c r="L8" s="51"/>
      <c r="M8" s="51"/>
      <c r="N8" s="51"/>
      <c r="O8" s="77"/>
      <c r="P8" s="77"/>
      <c r="Q8" s="77"/>
      <c r="R8" s="77"/>
      <c r="S8" s="77"/>
      <c r="T8" s="51"/>
      <c r="U8" s="51"/>
    </row>
    <row r="9" spans="1:21" ht="51.75" customHeight="1">
      <c r="A9" s="30" t="s">
        <v>67</v>
      </c>
      <c r="B9" s="40" t="s">
        <v>268</v>
      </c>
      <c r="C9" s="5"/>
      <c r="D9" s="5"/>
      <c r="E9" s="85"/>
      <c r="F9" s="79"/>
      <c r="G9" s="79"/>
      <c r="H9" s="51"/>
      <c r="I9" s="51"/>
      <c r="J9" s="51"/>
      <c r="K9" s="51"/>
      <c r="L9" s="51"/>
      <c r="M9" s="51"/>
      <c r="N9" s="51"/>
      <c r="O9" s="7"/>
      <c r="P9" s="7"/>
      <c r="Q9" s="77"/>
      <c r="R9" s="77"/>
      <c r="S9" s="77"/>
      <c r="T9" s="51"/>
      <c r="U9" s="51"/>
    </row>
    <row r="10" spans="1:21" ht="39" customHeight="1">
      <c r="A10" s="4"/>
      <c r="B10" s="4"/>
      <c r="C10" s="4"/>
      <c r="D10" s="4"/>
      <c r="E10" s="85"/>
      <c r="F10" s="79"/>
      <c r="G10" s="79"/>
      <c r="H10" s="51"/>
      <c r="I10" s="51"/>
      <c r="J10" s="51"/>
      <c r="K10" s="51"/>
      <c r="L10" s="51"/>
      <c r="M10" s="51"/>
      <c r="N10" s="51"/>
      <c r="O10" s="7" t="s">
        <v>69</v>
      </c>
      <c r="P10" s="7">
        <v>0</v>
      </c>
      <c r="Q10" s="77"/>
      <c r="R10" s="77"/>
      <c r="S10" s="77"/>
      <c r="T10" s="51"/>
      <c r="U10" s="51"/>
    </row>
    <row r="11" spans="1:21" ht="48" customHeight="1">
      <c r="A11" s="4"/>
      <c r="B11" s="4"/>
      <c r="C11" s="4"/>
      <c r="D11" s="4"/>
      <c r="E11" s="85"/>
      <c r="F11" s="79"/>
      <c r="G11" s="79"/>
      <c r="H11" s="51"/>
      <c r="I11" s="51"/>
      <c r="J11" s="51"/>
      <c r="K11" s="51"/>
      <c r="L11" s="51"/>
      <c r="M11" s="51"/>
      <c r="N11" s="51"/>
      <c r="O11" s="7"/>
      <c r="P11" s="7"/>
      <c r="Q11" s="77"/>
      <c r="R11" s="77"/>
      <c r="S11" s="77"/>
      <c r="T11" s="51"/>
      <c r="U11" s="51"/>
    </row>
    <row r="12" spans="1:21" ht="68.25" customHeight="1">
      <c r="A12" s="4"/>
      <c r="B12" s="4"/>
      <c r="C12" s="4"/>
      <c r="D12" s="4"/>
      <c r="E12" s="85"/>
      <c r="F12" s="79"/>
      <c r="G12" s="79"/>
      <c r="H12" s="51"/>
      <c r="I12" s="51"/>
      <c r="J12" s="51"/>
      <c r="K12" s="51"/>
      <c r="L12" s="51"/>
      <c r="M12" s="51"/>
      <c r="N12" s="51"/>
      <c r="O12" s="7" t="s">
        <v>70</v>
      </c>
      <c r="P12" s="7">
        <f>COUNTIF(A:G,"فشل")</f>
        <v>0</v>
      </c>
      <c r="Q12" s="77"/>
      <c r="R12" s="77"/>
      <c r="S12" s="77"/>
      <c r="T12" s="51"/>
      <c r="U12" s="51"/>
    </row>
    <row r="13" spans="1:21" ht="25.2" customHeight="1">
      <c r="A13" s="4"/>
      <c r="B13" s="4"/>
      <c r="C13" s="4"/>
      <c r="D13" s="4"/>
      <c r="E13" s="85"/>
      <c r="F13" s="79"/>
      <c r="G13" s="79"/>
      <c r="H13" s="51"/>
      <c r="I13" s="51"/>
      <c r="J13" s="51"/>
      <c r="K13" s="51"/>
      <c r="L13" s="51"/>
      <c r="M13" s="51"/>
      <c r="N13" s="51"/>
      <c r="O13" s="81"/>
      <c r="P13" s="7"/>
      <c r="Q13" s="77"/>
      <c r="R13" s="77"/>
      <c r="S13" s="77"/>
      <c r="T13" s="51"/>
      <c r="U13" s="51"/>
    </row>
    <row r="14" spans="1:21" ht="13.2">
      <c r="A14" s="4"/>
      <c r="B14" s="4"/>
      <c r="C14" s="4"/>
      <c r="D14" s="4"/>
      <c r="E14" s="85"/>
      <c r="F14" s="79"/>
      <c r="G14" s="79"/>
      <c r="H14" s="51"/>
      <c r="I14" s="51"/>
      <c r="J14" s="51"/>
      <c r="K14" s="51"/>
      <c r="L14" s="51"/>
      <c r="M14" s="51"/>
      <c r="N14" s="51"/>
      <c r="O14" s="81"/>
      <c r="P14" s="7"/>
      <c r="Q14" s="77"/>
      <c r="R14" s="77"/>
      <c r="S14" s="77"/>
      <c r="T14" s="51"/>
      <c r="U14" s="51"/>
    </row>
    <row r="15" spans="1:21" ht="13.2">
      <c r="A15" s="4"/>
      <c r="B15" s="4"/>
      <c r="C15" s="4"/>
      <c r="D15" s="4"/>
      <c r="E15" s="85"/>
      <c r="F15" s="79"/>
      <c r="G15" s="79"/>
      <c r="H15" s="51"/>
      <c r="I15" s="51"/>
      <c r="J15" s="51"/>
      <c r="K15" s="51"/>
      <c r="L15" s="51"/>
      <c r="M15" s="51"/>
      <c r="N15" s="51"/>
      <c r="O15" s="81"/>
      <c r="P15" s="7"/>
      <c r="Q15" s="77"/>
      <c r="R15" s="77"/>
      <c r="S15" s="77"/>
      <c r="T15" s="51"/>
      <c r="U15" s="51"/>
    </row>
    <row r="16" spans="1:21" s="8" customFormat="1" ht="34.799999999999997">
      <c r="A16" s="42" t="s">
        <v>71</v>
      </c>
      <c r="B16" s="16" t="s">
        <v>72</v>
      </c>
      <c r="C16" s="16" t="s">
        <v>73</v>
      </c>
      <c r="D16" s="16" t="s">
        <v>74</v>
      </c>
      <c r="E16" s="16" t="s">
        <v>75</v>
      </c>
      <c r="F16" s="16" t="s">
        <v>76</v>
      </c>
      <c r="G16" s="16" t="s">
        <v>77</v>
      </c>
      <c r="H16" s="52"/>
      <c r="I16" s="52"/>
      <c r="J16" s="52"/>
      <c r="K16" s="52"/>
      <c r="L16" s="52"/>
      <c r="M16" s="82"/>
      <c r="N16" s="82"/>
      <c r="O16" s="82"/>
      <c r="P16" s="82"/>
      <c r="Q16" s="82"/>
      <c r="R16" s="52"/>
    </row>
    <row r="17" spans="1:18" ht="101.25" customHeight="1">
      <c r="A17" s="18">
        <v>1</v>
      </c>
      <c r="B17" s="9" t="s">
        <v>181</v>
      </c>
      <c r="C17" s="9" t="s">
        <v>268</v>
      </c>
      <c r="D17" s="10" t="s">
        <v>269</v>
      </c>
      <c r="E17" s="9" t="s">
        <v>270</v>
      </c>
      <c r="F17" s="9"/>
      <c r="G17" s="12"/>
      <c r="H17" s="51"/>
      <c r="I17" s="51"/>
      <c r="J17" s="51"/>
      <c r="K17" s="51"/>
      <c r="L17" s="51"/>
      <c r="M17" s="81"/>
      <c r="N17" s="81"/>
      <c r="O17" s="81"/>
      <c r="P17" s="81"/>
      <c r="Q17" s="81"/>
      <c r="R17" s="51"/>
    </row>
    <row r="18" spans="1:18" ht="183" customHeight="1">
      <c r="A18" s="18">
        <v>2</v>
      </c>
      <c r="B18" s="9" t="s">
        <v>271</v>
      </c>
      <c r="C18" s="9" t="s">
        <v>272</v>
      </c>
      <c r="D18" s="31" t="s">
        <v>273</v>
      </c>
      <c r="E18" s="22" t="s">
        <v>274</v>
      </c>
      <c r="F18" s="10"/>
      <c r="G18" s="12"/>
    </row>
    <row r="19" spans="1:18" ht="198" customHeight="1">
      <c r="A19" s="18">
        <v>3</v>
      </c>
      <c r="B19" s="9" t="s">
        <v>167</v>
      </c>
      <c r="C19" s="9" t="s">
        <v>275</v>
      </c>
      <c r="D19" s="31" t="s">
        <v>276</v>
      </c>
      <c r="E19" s="22" t="s">
        <v>274</v>
      </c>
      <c r="F19" s="13"/>
      <c r="G19" s="12"/>
    </row>
    <row r="20" spans="1:18" ht="327.75" customHeight="1">
      <c r="A20" s="18">
        <v>4</v>
      </c>
      <c r="B20" s="9" t="s">
        <v>167</v>
      </c>
      <c r="C20" s="9" t="s">
        <v>277</v>
      </c>
      <c r="D20" s="31" t="s">
        <v>278</v>
      </c>
      <c r="E20" s="22" t="s">
        <v>274</v>
      </c>
      <c r="F20" s="10"/>
      <c r="G20" s="12"/>
    </row>
    <row r="21" spans="1:18" ht="246.75" customHeight="1">
      <c r="A21" s="18">
        <v>5</v>
      </c>
      <c r="B21" s="22" t="s">
        <v>167</v>
      </c>
      <c r="C21" s="22" t="s">
        <v>279</v>
      </c>
      <c r="D21" s="80" t="s">
        <v>280</v>
      </c>
      <c r="E21" s="22" t="s">
        <v>274</v>
      </c>
      <c r="F21" s="13"/>
      <c r="G21" s="75"/>
    </row>
    <row r="22" spans="1:18" ht="30">
      <c r="E22" s="24"/>
      <c r="G22" s="1"/>
    </row>
    <row r="23" spans="1:18" ht="30">
      <c r="E23" s="24"/>
      <c r="G23" s="1"/>
    </row>
    <row r="24" spans="1:18" ht="30">
      <c r="E24" s="24"/>
      <c r="G24" s="1"/>
    </row>
    <row r="25" spans="1:18" ht="30">
      <c r="E25" s="24"/>
      <c r="G25" s="1"/>
    </row>
    <row r="26" spans="1:18" ht="30">
      <c r="E26" s="24"/>
      <c r="G26" s="1"/>
    </row>
    <row r="27" spans="1:18" ht="30">
      <c r="E27" s="24"/>
      <c r="G27" s="1"/>
    </row>
    <row r="28" spans="1:18" ht="49.2" customHeight="1">
      <c r="E28" s="24"/>
      <c r="G28" s="1"/>
    </row>
    <row r="29" spans="1:18" ht="30">
      <c r="E29" s="24"/>
      <c r="G29" s="1"/>
    </row>
    <row r="30" spans="1:18" ht="30">
      <c r="E30" s="24"/>
      <c r="G30" s="1"/>
    </row>
    <row r="31" spans="1:18" ht="30">
      <c r="E31" s="24"/>
      <c r="G31" s="1"/>
    </row>
    <row r="32" spans="1:18" ht="30">
      <c r="E32" s="24"/>
      <c r="G32" s="1"/>
    </row>
    <row r="33" spans="5:7" ht="30">
      <c r="E33" s="24"/>
      <c r="G33" s="1"/>
    </row>
    <row r="34" spans="5:7" ht="30">
      <c r="E34" s="24"/>
      <c r="G34" s="1"/>
    </row>
    <row r="35" spans="5:7" ht="30">
      <c r="E35" s="24"/>
      <c r="G35" s="1"/>
    </row>
    <row r="36" spans="5:7" ht="42.6" customHeight="1">
      <c r="E36" s="24"/>
      <c r="G36" s="1"/>
    </row>
    <row r="37" spans="5:7" ht="30">
      <c r="E37" s="24"/>
      <c r="G37" s="1"/>
    </row>
    <row r="38" spans="5:7" ht="34.200000000000003" customHeight="1">
      <c r="E38" s="24"/>
      <c r="G38" s="1"/>
    </row>
    <row r="39" spans="5:7" ht="45.6" customHeight="1">
      <c r="E39" s="24"/>
      <c r="G39" s="1"/>
    </row>
    <row r="40" spans="5:7" ht="40.950000000000003" customHeight="1">
      <c r="E40" s="24"/>
      <c r="G40" s="1"/>
    </row>
    <row r="41" spans="5:7" ht="42.6" customHeight="1">
      <c r="E41" s="24"/>
      <c r="G41" s="1"/>
    </row>
    <row r="42" spans="5:7" ht="30">
      <c r="E42" s="24"/>
      <c r="G42" s="1"/>
    </row>
    <row r="43" spans="5:7" ht="46.95" customHeight="1">
      <c r="E43" s="24"/>
      <c r="G43" s="1"/>
    </row>
    <row r="44" spans="5:7" ht="43.95" customHeight="1">
      <c r="E44" s="24"/>
      <c r="G44" s="1"/>
    </row>
    <row r="45" spans="5:7" ht="52.95" customHeight="1">
      <c r="E45" s="24"/>
      <c r="G45" s="1"/>
    </row>
    <row r="46" spans="5:7" ht="30">
      <c r="E46" s="24"/>
      <c r="G46" s="1"/>
    </row>
    <row r="47" spans="5:7" ht="30">
      <c r="E47" s="24"/>
      <c r="G47" s="1"/>
    </row>
    <row r="48" spans="5:7" ht="30">
      <c r="E48" s="24"/>
      <c r="G48" s="1"/>
    </row>
    <row r="49" spans="5:7" ht="51" customHeight="1">
      <c r="E49" s="24"/>
      <c r="G49" s="1"/>
    </row>
    <row r="50" spans="5:7" ht="37.950000000000003" customHeight="1">
      <c r="E50" s="24"/>
      <c r="G50" s="1"/>
    </row>
    <row r="51" spans="5:7" ht="30">
      <c r="E51" s="24"/>
      <c r="G51" s="1"/>
    </row>
    <row r="52" spans="5:7" ht="30">
      <c r="E52" s="24"/>
      <c r="G52" s="1"/>
    </row>
    <row r="53" spans="5:7" ht="30">
      <c r="E53" s="24"/>
      <c r="G53" s="1"/>
    </row>
    <row r="54" spans="5:7" ht="30">
      <c r="E54" s="24"/>
      <c r="G54" s="1"/>
    </row>
    <row r="55" spans="5:7" ht="30">
      <c r="E55" s="24"/>
      <c r="G55" s="1"/>
    </row>
    <row r="56" spans="5:7" ht="30">
      <c r="E56" s="24"/>
      <c r="G56" s="1"/>
    </row>
    <row r="57" spans="5:7" ht="30">
      <c r="E57" s="24"/>
      <c r="G57" s="1"/>
    </row>
    <row r="58" spans="5:7" ht="30">
      <c r="E58" s="24"/>
      <c r="G58" s="1"/>
    </row>
    <row r="59" spans="5:7" ht="30">
      <c r="E59" s="24"/>
      <c r="G59" s="1"/>
    </row>
    <row r="60" spans="5:7" ht="30">
      <c r="E60" s="24"/>
      <c r="G60" s="1"/>
    </row>
    <row r="61" spans="5:7" ht="30">
      <c r="E61" s="24"/>
      <c r="G61" s="1"/>
    </row>
    <row r="62" spans="5:7" ht="30">
      <c r="E62" s="24"/>
      <c r="G62" s="1"/>
    </row>
    <row r="63" spans="5:7" ht="30">
      <c r="E63" s="24"/>
      <c r="G63" s="1"/>
    </row>
    <row r="64" spans="5:7" ht="30">
      <c r="E64" s="24"/>
      <c r="G64" s="1"/>
    </row>
    <row r="65" spans="5:7" ht="30">
      <c r="E65" s="24"/>
      <c r="G65" s="1"/>
    </row>
    <row r="66" spans="5:7" ht="30">
      <c r="E66" s="24"/>
      <c r="G66" s="1"/>
    </row>
    <row r="67" spans="5:7" ht="30">
      <c r="E67" s="24"/>
      <c r="G67" s="1"/>
    </row>
    <row r="68" spans="5:7" ht="30">
      <c r="E68" s="24"/>
      <c r="G68" s="1"/>
    </row>
    <row r="69" spans="5:7" ht="30">
      <c r="E69" s="24"/>
      <c r="G69" s="1"/>
    </row>
    <row r="70" spans="5:7" ht="30">
      <c r="E70" s="24"/>
      <c r="G70" s="1"/>
    </row>
    <row r="71" spans="5:7" ht="30">
      <c r="E71" s="24"/>
      <c r="G71" s="1"/>
    </row>
    <row r="72" spans="5:7" ht="30">
      <c r="E72" s="24"/>
      <c r="G72" s="1"/>
    </row>
    <row r="73" spans="5:7" ht="30">
      <c r="E73" s="24"/>
      <c r="G73" s="1"/>
    </row>
    <row r="74" spans="5:7" ht="30">
      <c r="E74" s="24"/>
      <c r="G74" s="1"/>
    </row>
    <row r="75" spans="5:7" ht="30">
      <c r="E75" s="24"/>
      <c r="G75" s="1"/>
    </row>
    <row r="76" spans="5:7" ht="30">
      <c r="E76" s="24"/>
      <c r="G76" s="1"/>
    </row>
    <row r="77" spans="5:7" ht="30">
      <c r="E77" s="24"/>
      <c r="G77" s="1"/>
    </row>
    <row r="78" spans="5:7" ht="30">
      <c r="E78" s="24"/>
      <c r="G78" s="1"/>
    </row>
    <row r="79" spans="5:7" ht="30">
      <c r="E79" s="24"/>
      <c r="G79" s="1"/>
    </row>
    <row r="80" spans="5:7" ht="30">
      <c r="E80" s="24"/>
      <c r="G80" s="1"/>
    </row>
    <row r="81" spans="5:7" ht="30">
      <c r="E81" s="24"/>
      <c r="G81" s="1"/>
    </row>
    <row r="82" spans="5:7" ht="30">
      <c r="E82" s="24"/>
      <c r="G82" s="1"/>
    </row>
    <row r="83" spans="5:7" ht="30">
      <c r="E83" s="24"/>
      <c r="G83" s="1"/>
    </row>
    <row r="84" spans="5:7" ht="30">
      <c r="E84" s="24"/>
      <c r="G84" s="1"/>
    </row>
    <row r="85" spans="5:7" ht="30">
      <c r="E85" s="24"/>
      <c r="G85" s="1"/>
    </row>
    <row r="86" spans="5:7" ht="30">
      <c r="E86" s="24"/>
      <c r="G86" s="1"/>
    </row>
    <row r="87" spans="5:7" ht="30">
      <c r="E87" s="24"/>
      <c r="G87" s="1"/>
    </row>
    <row r="88" spans="5:7" ht="30">
      <c r="E88" s="24"/>
      <c r="G88" s="1"/>
    </row>
    <row r="89" spans="5:7" ht="30">
      <c r="E89" s="24"/>
      <c r="G89" s="1"/>
    </row>
    <row r="90" spans="5:7" ht="30">
      <c r="E90" s="24"/>
      <c r="G90" s="1"/>
    </row>
    <row r="91" spans="5:7" ht="30">
      <c r="E91" s="24"/>
      <c r="G91" s="1"/>
    </row>
    <row r="92" spans="5:7" ht="30">
      <c r="E92" s="24"/>
      <c r="G92" s="1"/>
    </row>
    <row r="93" spans="5:7" ht="30">
      <c r="E93" s="24"/>
      <c r="G93" s="1"/>
    </row>
    <row r="94" spans="5:7" ht="30">
      <c r="E94" s="24"/>
      <c r="G94" s="1"/>
    </row>
    <row r="95" spans="5:7" ht="30">
      <c r="E95" s="24"/>
      <c r="G95" s="1"/>
    </row>
    <row r="96" spans="5:7" ht="30">
      <c r="E96" s="24"/>
      <c r="G96" s="1"/>
    </row>
    <row r="97" spans="5:7" ht="30">
      <c r="E97" s="24"/>
      <c r="G97" s="1"/>
    </row>
    <row r="98" spans="5:7" ht="30">
      <c r="E98" s="24"/>
      <c r="G98" s="1"/>
    </row>
    <row r="99" spans="5:7" ht="30">
      <c r="E99" s="24"/>
      <c r="G99" s="1"/>
    </row>
    <row r="100" spans="5:7" ht="30">
      <c r="E100" s="24"/>
      <c r="G100" s="1"/>
    </row>
    <row r="101" spans="5:7" ht="30">
      <c r="E101" s="24"/>
      <c r="G101" s="1"/>
    </row>
    <row r="102" spans="5:7" ht="30">
      <c r="E102" s="24"/>
      <c r="G102" s="1"/>
    </row>
    <row r="103" spans="5:7" ht="30">
      <c r="E103" s="24"/>
      <c r="G103" s="1"/>
    </row>
    <row r="104" spans="5:7" ht="30">
      <c r="E104" s="24"/>
      <c r="G104" s="1"/>
    </row>
    <row r="105" spans="5:7" ht="30">
      <c r="E105" s="24"/>
      <c r="G105" s="1"/>
    </row>
    <row r="106" spans="5:7" ht="30">
      <c r="E106" s="24"/>
      <c r="G106" s="1"/>
    </row>
    <row r="107" spans="5:7" ht="30">
      <c r="E107" s="24"/>
      <c r="G107" s="1"/>
    </row>
    <row r="108" spans="5:7" ht="30">
      <c r="E108" s="24"/>
      <c r="G108" s="1"/>
    </row>
    <row r="109" spans="5:7" ht="30">
      <c r="E109" s="24"/>
      <c r="G109" s="1"/>
    </row>
    <row r="110" spans="5:7" ht="30">
      <c r="E110" s="24"/>
      <c r="G110" s="1"/>
    </row>
    <row r="111" spans="5:7" ht="30">
      <c r="E111" s="24"/>
      <c r="G111" s="1"/>
    </row>
    <row r="112" spans="5:7" ht="30">
      <c r="E112" s="24"/>
      <c r="G112" s="1"/>
    </row>
    <row r="113" spans="5:7" ht="30">
      <c r="E113" s="24"/>
      <c r="G113" s="1"/>
    </row>
    <row r="114" spans="5:7" ht="30">
      <c r="E114" s="24"/>
      <c r="G114" s="1"/>
    </row>
    <row r="115" spans="5:7" ht="30">
      <c r="E115" s="24"/>
      <c r="G115" s="1"/>
    </row>
    <row r="116" spans="5:7" ht="30">
      <c r="E116" s="24"/>
      <c r="G116" s="1"/>
    </row>
    <row r="117" spans="5:7" ht="30">
      <c r="E117" s="24"/>
      <c r="G117" s="1"/>
    </row>
    <row r="118" spans="5:7" ht="30">
      <c r="E118" s="24"/>
      <c r="G118" s="1"/>
    </row>
    <row r="119" spans="5:7" ht="30">
      <c r="E119" s="24"/>
      <c r="G119" s="1"/>
    </row>
    <row r="120" spans="5:7" ht="30">
      <c r="E120" s="24"/>
      <c r="G120" s="1"/>
    </row>
    <row r="121" spans="5:7" ht="30">
      <c r="E121" s="24"/>
      <c r="G121" s="1"/>
    </row>
    <row r="122" spans="5:7" ht="30">
      <c r="E122" s="24"/>
      <c r="G122" s="1"/>
    </row>
    <row r="123" spans="5:7" ht="30">
      <c r="E123" s="24"/>
      <c r="G123" s="1"/>
    </row>
    <row r="124" spans="5:7" ht="30">
      <c r="E124" s="24"/>
      <c r="G124" s="1"/>
    </row>
    <row r="125" spans="5:7" ht="30">
      <c r="E125" s="24"/>
      <c r="G125" s="1"/>
    </row>
    <row r="126" spans="5:7" ht="30">
      <c r="E126" s="24"/>
      <c r="G126" s="1"/>
    </row>
    <row r="127" spans="5:7" ht="30">
      <c r="E127" s="24"/>
      <c r="G127" s="1"/>
    </row>
    <row r="128" spans="5:7" ht="30">
      <c r="E128" s="24"/>
      <c r="G128" s="1"/>
    </row>
    <row r="129" spans="5:7" ht="30">
      <c r="E129" s="24"/>
      <c r="G129" s="1"/>
    </row>
    <row r="130" spans="5:7" ht="30">
      <c r="E130" s="24"/>
      <c r="G130" s="1"/>
    </row>
    <row r="131" spans="5:7" ht="30">
      <c r="E131" s="24"/>
      <c r="G131" s="1"/>
    </row>
    <row r="132" spans="5:7" ht="30">
      <c r="E132" s="24"/>
      <c r="G132" s="1"/>
    </row>
    <row r="133" spans="5:7" ht="30">
      <c r="E133" s="24"/>
      <c r="G133" s="1"/>
    </row>
    <row r="134" spans="5:7" ht="30">
      <c r="E134" s="24"/>
      <c r="G134" s="1"/>
    </row>
    <row r="135" spans="5:7" ht="30">
      <c r="E135" s="24"/>
      <c r="G135" s="1"/>
    </row>
    <row r="136" spans="5:7" ht="30">
      <c r="E136" s="24"/>
      <c r="G136" s="1"/>
    </row>
    <row r="137" spans="5:7" ht="30">
      <c r="E137" s="24"/>
      <c r="G137" s="1"/>
    </row>
    <row r="138" spans="5:7" ht="30">
      <c r="E138" s="24"/>
      <c r="G138" s="1"/>
    </row>
    <row r="139" spans="5:7" ht="30">
      <c r="E139" s="24"/>
      <c r="G139" s="1"/>
    </row>
    <row r="140" spans="5:7" ht="30">
      <c r="E140" s="24"/>
      <c r="G140" s="1"/>
    </row>
    <row r="141" spans="5:7" ht="30">
      <c r="E141" s="24"/>
      <c r="G141" s="1"/>
    </row>
    <row r="142" spans="5:7" ht="30">
      <c r="E142" s="24"/>
      <c r="G142" s="1"/>
    </row>
    <row r="143" spans="5:7" ht="30">
      <c r="E143" s="24"/>
      <c r="G143" s="1"/>
    </row>
    <row r="144" spans="5:7" ht="30">
      <c r="E144" s="24"/>
      <c r="G144" s="1"/>
    </row>
    <row r="145" spans="5:7" ht="30">
      <c r="E145" s="24"/>
      <c r="G145" s="1"/>
    </row>
    <row r="146" spans="5:7" ht="30">
      <c r="E146" s="24"/>
      <c r="G146" s="1"/>
    </row>
    <row r="147" spans="5:7" ht="30">
      <c r="E147" s="24"/>
      <c r="G147" s="1"/>
    </row>
    <row r="148" spans="5:7" ht="30">
      <c r="E148" s="24"/>
      <c r="G148" s="1"/>
    </row>
    <row r="149" spans="5:7" ht="30">
      <c r="E149" s="24"/>
      <c r="G149" s="1"/>
    </row>
    <row r="150" spans="5:7" ht="30">
      <c r="E150" s="24"/>
      <c r="G150" s="1"/>
    </row>
    <row r="151" spans="5:7" ht="30">
      <c r="E151" s="24"/>
      <c r="G151" s="1"/>
    </row>
    <row r="152" spans="5:7" ht="30">
      <c r="E152" s="24"/>
      <c r="G152" s="1"/>
    </row>
    <row r="153" spans="5:7" ht="30">
      <c r="E153" s="24"/>
      <c r="G153" s="1"/>
    </row>
    <row r="154" spans="5:7" ht="30">
      <c r="E154" s="24"/>
      <c r="G154" s="1"/>
    </row>
    <row r="155" spans="5:7" ht="30">
      <c r="E155" s="24"/>
      <c r="G155" s="1"/>
    </row>
    <row r="156" spans="5:7" ht="30">
      <c r="E156" s="24"/>
      <c r="G156" s="1"/>
    </row>
    <row r="157" spans="5:7" ht="30">
      <c r="E157" s="24"/>
      <c r="G157" s="1"/>
    </row>
    <row r="158" spans="5:7" ht="30">
      <c r="E158" s="24"/>
      <c r="G158" s="1"/>
    </row>
    <row r="159" spans="5:7" ht="30">
      <c r="E159" s="24"/>
      <c r="G159" s="1"/>
    </row>
    <row r="160" spans="5:7" ht="30">
      <c r="E160" s="24"/>
      <c r="G160" s="1"/>
    </row>
    <row r="161" spans="5:7" ht="30">
      <c r="E161" s="24"/>
      <c r="G161" s="1"/>
    </row>
    <row r="162" spans="5:7" ht="30">
      <c r="E162" s="24"/>
      <c r="G162" s="1"/>
    </row>
    <row r="163" spans="5:7" ht="30">
      <c r="E163" s="24"/>
      <c r="G163" s="1"/>
    </row>
    <row r="164" spans="5:7" ht="30">
      <c r="E164" s="24"/>
      <c r="G164" s="1"/>
    </row>
    <row r="165" spans="5:7" ht="30">
      <c r="E165" s="24"/>
      <c r="G165" s="1"/>
    </row>
    <row r="166" spans="5:7" ht="30">
      <c r="E166" s="24"/>
      <c r="G166" s="1"/>
    </row>
    <row r="167" spans="5:7" ht="30">
      <c r="E167" s="24"/>
      <c r="G167" s="1"/>
    </row>
    <row r="168" spans="5:7" ht="30">
      <c r="E168" s="24"/>
      <c r="G168" s="1"/>
    </row>
    <row r="169" spans="5:7" ht="30">
      <c r="E169" s="24"/>
      <c r="G169" s="1"/>
    </row>
    <row r="170" spans="5:7" ht="30">
      <c r="E170" s="24"/>
      <c r="G170" s="1"/>
    </row>
    <row r="171" spans="5:7" ht="30">
      <c r="E171" s="24"/>
      <c r="G171" s="1"/>
    </row>
    <row r="172" spans="5:7" ht="30">
      <c r="E172" s="24"/>
      <c r="G172" s="1"/>
    </row>
    <row r="173" spans="5:7" ht="30">
      <c r="E173" s="24"/>
      <c r="G173" s="1"/>
    </row>
    <row r="174" spans="5:7" ht="30">
      <c r="E174" s="24"/>
      <c r="G174" s="1"/>
    </row>
    <row r="175" spans="5:7" ht="30">
      <c r="E175" s="24"/>
      <c r="G175" s="1"/>
    </row>
    <row r="176" spans="5:7" ht="30">
      <c r="E176" s="24"/>
      <c r="G176" s="1"/>
    </row>
    <row r="177" spans="5:7" ht="30">
      <c r="E177" s="24"/>
      <c r="G177" s="1"/>
    </row>
    <row r="178" spans="5:7" ht="30">
      <c r="E178" s="24"/>
      <c r="G178" s="1"/>
    </row>
    <row r="179" spans="5:7" ht="30">
      <c r="E179" s="24"/>
      <c r="G179" s="1"/>
    </row>
    <row r="180" spans="5:7" ht="30">
      <c r="E180" s="24"/>
      <c r="G180" s="1"/>
    </row>
    <row r="181" spans="5:7" ht="30">
      <c r="E181" s="24"/>
      <c r="G181" s="1"/>
    </row>
    <row r="182" spans="5:7" ht="30">
      <c r="E182" s="24"/>
      <c r="G182" s="1"/>
    </row>
    <row r="183" spans="5:7" ht="30">
      <c r="E183" s="24"/>
      <c r="G183" s="1"/>
    </row>
    <row r="184" spans="5:7" ht="30">
      <c r="E184" s="24"/>
      <c r="G184" s="1"/>
    </row>
    <row r="185" spans="5:7" ht="30">
      <c r="E185" s="24"/>
      <c r="G185" s="1"/>
    </row>
    <row r="186" spans="5:7" ht="30">
      <c r="E186" s="24"/>
      <c r="G186" s="1"/>
    </row>
    <row r="187" spans="5:7" ht="30">
      <c r="E187" s="24"/>
      <c r="G187" s="1"/>
    </row>
    <row r="188" spans="5:7" ht="30">
      <c r="E188" s="24"/>
      <c r="G188" s="1"/>
    </row>
    <row r="189" spans="5:7" ht="30">
      <c r="E189" s="24"/>
      <c r="G189" s="1"/>
    </row>
    <row r="190" spans="5:7" ht="30">
      <c r="E190" s="24"/>
      <c r="G190" s="1"/>
    </row>
    <row r="191" spans="5:7" ht="30">
      <c r="E191" s="24"/>
      <c r="G191" s="1"/>
    </row>
    <row r="192" spans="5:7" ht="30">
      <c r="E192" s="24"/>
      <c r="G192" s="1"/>
    </row>
    <row r="193" spans="5:7" ht="30">
      <c r="E193" s="24"/>
      <c r="G193" s="1"/>
    </row>
    <row r="194" spans="5:7" ht="30">
      <c r="E194" s="24"/>
      <c r="G194" s="1"/>
    </row>
    <row r="195" spans="5:7" ht="30">
      <c r="E195" s="24"/>
      <c r="G195" s="1"/>
    </row>
    <row r="196" spans="5:7" ht="30">
      <c r="E196" s="24"/>
      <c r="G196" s="1"/>
    </row>
    <row r="197" spans="5:7" ht="30">
      <c r="E197" s="24"/>
      <c r="G197" s="1"/>
    </row>
    <row r="198" spans="5:7" ht="30">
      <c r="E198" s="24"/>
      <c r="G198" s="1"/>
    </row>
    <row r="199" spans="5:7" ht="30">
      <c r="E199" s="24"/>
      <c r="G199" s="1"/>
    </row>
    <row r="200" spans="5:7" ht="30">
      <c r="E200" s="24"/>
      <c r="G200" s="1"/>
    </row>
    <row r="201" spans="5:7" ht="30">
      <c r="E201" s="24"/>
      <c r="G201" s="1"/>
    </row>
    <row r="202" spans="5:7" ht="30">
      <c r="E202" s="24"/>
      <c r="G202" s="1"/>
    </row>
    <row r="203" spans="5:7" ht="30">
      <c r="E203" s="24"/>
      <c r="G203" s="1"/>
    </row>
    <row r="204" spans="5:7" ht="30">
      <c r="E204" s="24"/>
      <c r="G204" s="1"/>
    </row>
    <row r="205" spans="5:7" ht="30">
      <c r="E205" s="24"/>
      <c r="G205" s="1"/>
    </row>
    <row r="206" spans="5:7" ht="30">
      <c r="E206" s="24"/>
      <c r="G206" s="1"/>
    </row>
    <row r="207" spans="5:7" ht="30">
      <c r="E207" s="24"/>
      <c r="G207" s="1"/>
    </row>
    <row r="208" spans="5:7" ht="30">
      <c r="E208" s="24"/>
      <c r="G208" s="1"/>
    </row>
    <row r="209" spans="5:7" ht="30">
      <c r="E209" s="24"/>
      <c r="G209" s="1"/>
    </row>
    <row r="210" spans="5:7" ht="30">
      <c r="E210" s="24"/>
      <c r="G210" s="1"/>
    </row>
    <row r="211" spans="5:7" ht="30">
      <c r="E211" s="24"/>
      <c r="G211" s="1"/>
    </row>
    <row r="212" spans="5:7" ht="30">
      <c r="E212" s="24"/>
      <c r="G212" s="1"/>
    </row>
    <row r="213" spans="5:7" ht="30">
      <c r="E213" s="24"/>
      <c r="G213" s="1"/>
    </row>
    <row r="214" spans="5:7" ht="30">
      <c r="E214" s="24"/>
      <c r="G214" s="1"/>
    </row>
    <row r="215" spans="5:7" ht="30">
      <c r="E215" s="24"/>
      <c r="G215" s="1"/>
    </row>
    <row r="216" spans="5:7" ht="30">
      <c r="E216" s="24"/>
      <c r="G216" s="1"/>
    </row>
    <row r="217" spans="5:7" ht="30">
      <c r="E217" s="24"/>
      <c r="G217" s="1"/>
    </row>
    <row r="218" spans="5:7" ht="30">
      <c r="E218" s="24"/>
      <c r="G218" s="1"/>
    </row>
    <row r="219" spans="5:7" ht="30">
      <c r="E219" s="24"/>
      <c r="G219" s="1"/>
    </row>
    <row r="220" spans="5:7" ht="30">
      <c r="E220" s="24"/>
      <c r="G220" s="1"/>
    </row>
    <row r="221" spans="5:7" ht="30">
      <c r="E221" s="24"/>
      <c r="G221" s="1"/>
    </row>
    <row r="222" spans="5:7" ht="30">
      <c r="E222" s="24"/>
      <c r="G222" s="1"/>
    </row>
    <row r="223" spans="5:7" ht="30">
      <c r="E223" s="24"/>
      <c r="G223" s="1"/>
    </row>
    <row r="224" spans="5:7" ht="30">
      <c r="E224" s="24"/>
      <c r="G224" s="1"/>
    </row>
    <row r="225" spans="5:7" ht="30">
      <c r="E225" s="24"/>
      <c r="G225" s="1"/>
    </row>
    <row r="226" spans="5:7" ht="30">
      <c r="E226" s="24"/>
      <c r="G226" s="1"/>
    </row>
    <row r="227" spans="5:7" ht="30">
      <c r="E227" s="24"/>
      <c r="G227" s="1"/>
    </row>
    <row r="228" spans="5:7" ht="30">
      <c r="E228" s="24"/>
      <c r="G228" s="1"/>
    </row>
    <row r="229" spans="5:7" ht="30">
      <c r="E229" s="24"/>
      <c r="G229" s="1"/>
    </row>
    <row r="230" spans="5:7" ht="30">
      <c r="E230" s="24"/>
      <c r="G230" s="1"/>
    </row>
    <row r="231" spans="5:7" ht="30">
      <c r="E231" s="24"/>
      <c r="G231" s="1"/>
    </row>
    <row r="232" spans="5:7" ht="30">
      <c r="E232" s="24"/>
      <c r="G232" s="1"/>
    </row>
    <row r="233" spans="5:7" ht="30">
      <c r="E233" s="24"/>
      <c r="G233" s="1"/>
    </row>
    <row r="234" spans="5:7" ht="30">
      <c r="E234" s="24"/>
      <c r="G234" s="1"/>
    </row>
    <row r="235" spans="5:7" ht="30">
      <c r="E235" s="24"/>
      <c r="G235" s="1"/>
    </row>
    <row r="236" spans="5:7" ht="30">
      <c r="E236" s="24"/>
      <c r="G236" s="1"/>
    </row>
    <row r="237" spans="5:7" ht="30">
      <c r="E237" s="24"/>
      <c r="G237" s="1"/>
    </row>
    <row r="238" spans="5:7" ht="30">
      <c r="E238" s="24"/>
      <c r="G238" s="1"/>
    </row>
    <row r="239" spans="5:7" ht="30">
      <c r="E239" s="24"/>
      <c r="G239" s="1"/>
    </row>
    <row r="240" spans="5:7" ht="30">
      <c r="E240" s="24"/>
      <c r="G240" s="1"/>
    </row>
    <row r="241" spans="5:7" ht="30">
      <c r="E241" s="24"/>
      <c r="G241" s="1"/>
    </row>
    <row r="242" spans="5:7" ht="30">
      <c r="E242" s="24"/>
      <c r="G242" s="1"/>
    </row>
    <row r="243" spans="5:7" ht="30">
      <c r="E243" s="24"/>
      <c r="G243" s="1"/>
    </row>
    <row r="244" spans="5:7" ht="30">
      <c r="E244" s="24"/>
      <c r="G244" s="1"/>
    </row>
    <row r="245" spans="5:7" ht="30">
      <c r="E245" s="24"/>
      <c r="G245" s="1"/>
    </row>
    <row r="246" spans="5:7" ht="30">
      <c r="E246" s="24"/>
      <c r="G246" s="1"/>
    </row>
    <row r="247" spans="5:7" ht="30">
      <c r="E247" s="24"/>
      <c r="G247" s="1"/>
    </row>
    <row r="248" spans="5:7" ht="30">
      <c r="E248" s="24"/>
      <c r="G248" s="1"/>
    </row>
    <row r="249" spans="5:7" ht="30">
      <c r="E249" s="24"/>
      <c r="G249" s="1"/>
    </row>
    <row r="250" spans="5:7" ht="30">
      <c r="E250" s="24"/>
      <c r="G250" s="1"/>
    </row>
    <row r="251" spans="5:7" ht="30">
      <c r="E251" s="24"/>
      <c r="G251" s="1"/>
    </row>
    <row r="252" spans="5:7" ht="30">
      <c r="E252" s="24"/>
      <c r="G252" s="1"/>
    </row>
    <row r="253" spans="5:7" ht="30">
      <c r="E253" s="24"/>
      <c r="G253" s="1"/>
    </row>
    <row r="254" spans="5:7" ht="30">
      <c r="E254" s="24"/>
      <c r="G254" s="1"/>
    </row>
    <row r="255" spans="5:7" ht="30">
      <c r="E255" s="24"/>
      <c r="G255" s="1"/>
    </row>
    <row r="256" spans="5:7" ht="30">
      <c r="E256" s="24"/>
      <c r="G256" s="1"/>
    </row>
    <row r="257" spans="5:7" ht="30">
      <c r="E257" s="24"/>
      <c r="G257" s="1"/>
    </row>
    <row r="258" spans="5:7" ht="30">
      <c r="E258" s="24"/>
      <c r="G258" s="1"/>
    </row>
    <row r="259" spans="5:7" ht="30">
      <c r="E259" s="24"/>
      <c r="G259" s="1"/>
    </row>
    <row r="260" spans="5:7" ht="30">
      <c r="E260" s="24"/>
      <c r="G260" s="1"/>
    </row>
    <row r="261" spans="5:7" ht="30">
      <c r="E261" s="24"/>
      <c r="G261" s="1"/>
    </row>
    <row r="262" spans="5:7" ht="30">
      <c r="E262" s="24"/>
      <c r="G262" s="1"/>
    </row>
    <row r="263" spans="5:7" ht="30">
      <c r="E263" s="24"/>
      <c r="G263" s="1"/>
    </row>
    <row r="264" spans="5:7" ht="30">
      <c r="E264" s="24"/>
      <c r="G264" s="1"/>
    </row>
    <row r="265" spans="5:7" ht="30">
      <c r="E265" s="24"/>
      <c r="G265" s="1"/>
    </row>
    <row r="266" spans="5:7" ht="30">
      <c r="E266" s="24"/>
      <c r="G266" s="1"/>
    </row>
    <row r="267" spans="5:7" ht="30">
      <c r="E267" s="24"/>
      <c r="G267" s="1"/>
    </row>
    <row r="268" spans="5:7" ht="30">
      <c r="E268" s="24"/>
      <c r="G268" s="1"/>
    </row>
    <row r="269" spans="5:7" ht="30">
      <c r="E269" s="24"/>
      <c r="G269" s="1"/>
    </row>
    <row r="270" spans="5:7" ht="30">
      <c r="E270" s="24"/>
      <c r="G270" s="1"/>
    </row>
    <row r="271" spans="5:7" ht="30">
      <c r="E271" s="24"/>
      <c r="G271" s="1"/>
    </row>
    <row r="272" spans="5:7" ht="30">
      <c r="E272" s="24"/>
      <c r="G272" s="1"/>
    </row>
    <row r="273" spans="5:7" ht="30">
      <c r="E273" s="24"/>
      <c r="G273" s="1"/>
    </row>
    <row r="274" spans="5:7" ht="30">
      <c r="E274" s="24"/>
      <c r="G274" s="1"/>
    </row>
    <row r="275" spans="5:7" ht="30">
      <c r="E275" s="24"/>
      <c r="G275" s="1"/>
    </row>
    <row r="276" spans="5:7" ht="30">
      <c r="E276" s="24"/>
      <c r="G276" s="1"/>
    </row>
    <row r="277" spans="5:7" ht="30">
      <c r="E277" s="24"/>
      <c r="G277" s="1"/>
    </row>
    <row r="278" spans="5:7" ht="30">
      <c r="E278" s="24"/>
      <c r="G278" s="1"/>
    </row>
    <row r="279" spans="5:7" ht="30">
      <c r="E279" s="24"/>
      <c r="G279" s="1"/>
    </row>
    <row r="280" spans="5:7" ht="30">
      <c r="E280" s="24"/>
      <c r="G280" s="1"/>
    </row>
    <row r="281" spans="5:7" ht="30">
      <c r="E281" s="24"/>
      <c r="G281" s="1"/>
    </row>
    <row r="282" spans="5:7" ht="30">
      <c r="E282" s="24"/>
      <c r="G282" s="1"/>
    </row>
    <row r="283" spans="5:7" ht="30">
      <c r="E283" s="24"/>
      <c r="G283" s="1"/>
    </row>
    <row r="284" spans="5:7" ht="30">
      <c r="E284" s="24"/>
      <c r="G284" s="1"/>
    </row>
    <row r="285" spans="5:7" ht="30">
      <c r="E285" s="24"/>
      <c r="G285" s="1"/>
    </row>
    <row r="286" spans="5:7" ht="30">
      <c r="E286" s="24"/>
      <c r="G286" s="1"/>
    </row>
    <row r="287" spans="5:7" ht="30">
      <c r="E287" s="24"/>
      <c r="G287" s="1"/>
    </row>
    <row r="288" spans="5:7" ht="30">
      <c r="E288" s="24"/>
      <c r="G288" s="1"/>
    </row>
    <row r="289" spans="5:7" ht="30">
      <c r="E289" s="24"/>
      <c r="G289" s="1"/>
    </row>
    <row r="290" spans="5:7" ht="30">
      <c r="E290" s="24"/>
      <c r="G290" s="1"/>
    </row>
    <row r="291" spans="5:7" ht="30">
      <c r="E291" s="24"/>
      <c r="G291" s="1"/>
    </row>
    <row r="292" spans="5:7" ht="30">
      <c r="E292" s="24"/>
      <c r="G292" s="1"/>
    </row>
    <row r="293" spans="5:7" ht="30">
      <c r="E293" s="24"/>
      <c r="G293" s="1"/>
    </row>
    <row r="294" spans="5:7" ht="30">
      <c r="E294" s="24"/>
      <c r="G294" s="1"/>
    </row>
    <row r="295" spans="5:7" ht="30">
      <c r="E295" s="24"/>
      <c r="G295" s="1"/>
    </row>
    <row r="296" spans="5:7" ht="30">
      <c r="E296" s="24"/>
      <c r="G296" s="1"/>
    </row>
    <row r="297" spans="5:7" ht="30">
      <c r="E297" s="24"/>
      <c r="G297" s="1"/>
    </row>
    <row r="298" spans="5:7" ht="30">
      <c r="E298" s="24"/>
      <c r="G298" s="1"/>
    </row>
    <row r="299" spans="5:7" ht="30">
      <c r="E299" s="24"/>
      <c r="G299" s="1"/>
    </row>
    <row r="300" spans="5:7" ht="30">
      <c r="E300" s="24"/>
      <c r="G300" s="1"/>
    </row>
    <row r="301" spans="5:7" ht="30">
      <c r="E301" s="24"/>
      <c r="G301" s="1"/>
    </row>
    <row r="302" spans="5:7" ht="30">
      <c r="E302" s="24"/>
      <c r="G302" s="1"/>
    </row>
    <row r="303" spans="5:7" ht="30">
      <c r="E303" s="24"/>
      <c r="G303" s="1"/>
    </row>
    <row r="304" spans="5:7" ht="30">
      <c r="E304" s="24"/>
      <c r="G304" s="1"/>
    </row>
    <row r="305" spans="5:7" ht="30">
      <c r="E305" s="24"/>
      <c r="G305" s="1"/>
    </row>
    <row r="306" spans="5:7" ht="30">
      <c r="E306" s="24"/>
      <c r="G306" s="1"/>
    </row>
    <row r="307" spans="5:7" ht="30">
      <c r="E307" s="24"/>
      <c r="G307" s="1"/>
    </row>
    <row r="308" spans="5:7" ht="30">
      <c r="E308" s="24"/>
      <c r="G308" s="1"/>
    </row>
    <row r="309" spans="5:7" ht="30">
      <c r="E309" s="24"/>
      <c r="G309" s="1"/>
    </row>
    <row r="310" spans="5:7" ht="30">
      <c r="E310" s="24"/>
      <c r="G310" s="1"/>
    </row>
    <row r="311" spans="5:7" ht="30">
      <c r="E311" s="24"/>
      <c r="G311" s="1"/>
    </row>
    <row r="312" spans="5:7" ht="30">
      <c r="E312" s="24"/>
      <c r="G312" s="1"/>
    </row>
    <row r="313" spans="5:7" ht="30">
      <c r="E313" s="24"/>
      <c r="G313" s="1"/>
    </row>
    <row r="314" spans="5:7" ht="30">
      <c r="E314" s="24"/>
      <c r="G314" s="1"/>
    </row>
    <row r="315" spans="5:7" ht="30">
      <c r="E315" s="24"/>
      <c r="G315" s="1"/>
    </row>
    <row r="316" spans="5:7" ht="30">
      <c r="E316" s="24"/>
      <c r="G316" s="1"/>
    </row>
    <row r="317" spans="5:7" ht="30">
      <c r="E317" s="24"/>
      <c r="G317" s="1"/>
    </row>
    <row r="318" spans="5:7" ht="30">
      <c r="E318" s="24"/>
      <c r="G318" s="1"/>
    </row>
    <row r="319" spans="5:7" ht="30">
      <c r="E319" s="24"/>
      <c r="G319" s="1"/>
    </row>
    <row r="320" spans="5:7" ht="30">
      <c r="E320" s="24"/>
      <c r="G320" s="1"/>
    </row>
    <row r="321" spans="5:7" ht="30">
      <c r="E321" s="24"/>
      <c r="G321" s="1"/>
    </row>
    <row r="322" spans="5:7" ht="30">
      <c r="E322" s="24"/>
      <c r="G322" s="1"/>
    </row>
    <row r="323" spans="5:7" ht="30">
      <c r="E323" s="24"/>
      <c r="G323" s="1"/>
    </row>
    <row r="324" spans="5:7" ht="30">
      <c r="E324" s="24"/>
      <c r="G324" s="1"/>
    </row>
    <row r="325" spans="5:7" ht="30">
      <c r="E325" s="24"/>
      <c r="G325" s="1"/>
    </row>
    <row r="326" spans="5:7" ht="30">
      <c r="E326" s="24"/>
      <c r="G326" s="1"/>
    </row>
    <row r="327" spans="5:7" ht="30">
      <c r="E327" s="24"/>
      <c r="G327" s="1"/>
    </row>
    <row r="328" spans="5:7" ht="30">
      <c r="E328" s="24"/>
      <c r="G328" s="1"/>
    </row>
    <row r="329" spans="5:7" ht="30">
      <c r="E329" s="24"/>
      <c r="G329" s="1"/>
    </row>
    <row r="330" spans="5:7" ht="30">
      <c r="E330" s="24"/>
      <c r="G330" s="1"/>
    </row>
    <row r="331" spans="5:7" ht="30">
      <c r="E331" s="24"/>
      <c r="G331" s="1"/>
    </row>
    <row r="332" spans="5:7" ht="30">
      <c r="E332" s="24"/>
      <c r="G332" s="1"/>
    </row>
    <row r="333" spans="5:7" ht="30">
      <c r="E333" s="24"/>
      <c r="G333" s="1"/>
    </row>
    <row r="334" spans="5:7" ht="30">
      <c r="E334" s="24"/>
      <c r="G334" s="1"/>
    </row>
    <row r="335" spans="5:7" ht="30">
      <c r="E335" s="24"/>
      <c r="G335" s="1"/>
    </row>
    <row r="336" spans="5:7" ht="30">
      <c r="E336" s="24"/>
      <c r="G336" s="1"/>
    </row>
    <row r="337" spans="5:7" ht="30">
      <c r="E337" s="24"/>
      <c r="G337" s="1"/>
    </row>
    <row r="338" spans="5:7" ht="30">
      <c r="E338" s="24"/>
      <c r="G338" s="1"/>
    </row>
    <row r="339" spans="5:7" ht="30">
      <c r="E339" s="24"/>
      <c r="G339" s="1"/>
    </row>
    <row r="340" spans="5:7" ht="30">
      <c r="E340" s="24"/>
      <c r="G340" s="1"/>
    </row>
    <row r="341" spans="5:7" ht="30">
      <c r="E341" s="24"/>
      <c r="G341" s="1"/>
    </row>
    <row r="342" spans="5:7" ht="30">
      <c r="E342" s="24"/>
      <c r="G342" s="1"/>
    </row>
    <row r="343" spans="5:7" ht="30">
      <c r="E343" s="24"/>
      <c r="G343" s="1"/>
    </row>
    <row r="344" spans="5:7" ht="30">
      <c r="E344" s="24"/>
      <c r="G344" s="1"/>
    </row>
    <row r="345" spans="5:7" ht="30">
      <c r="E345" s="24"/>
      <c r="G345" s="1"/>
    </row>
    <row r="346" spans="5:7" ht="30">
      <c r="E346" s="24"/>
      <c r="G346" s="1"/>
    </row>
    <row r="347" spans="5:7" ht="30">
      <c r="E347" s="24"/>
      <c r="G347" s="1"/>
    </row>
    <row r="348" spans="5:7" ht="30">
      <c r="E348" s="24"/>
      <c r="G348" s="1"/>
    </row>
    <row r="349" spans="5:7" ht="30">
      <c r="E349" s="24"/>
      <c r="G349" s="1"/>
    </row>
    <row r="350" spans="5:7" ht="30">
      <c r="E350" s="24"/>
      <c r="G350" s="1"/>
    </row>
    <row r="351" spans="5:7" ht="30">
      <c r="E351" s="24"/>
      <c r="G351" s="1"/>
    </row>
    <row r="352" spans="5:7" ht="30">
      <c r="E352" s="24"/>
      <c r="G352" s="1"/>
    </row>
    <row r="353" spans="5:7" ht="30">
      <c r="E353" s="24"/>
      <c r="G353" s="1"/>
    </row>
    <row r="354" spans="5:7" ht="30">
      <c r="E354" s="24"/>
      <c r="G354" s="1"/>
    </row>
    <row r="355" spans="5:7" ht="30">
      <c r="E355" s="24"/>
      <c r="G355" s="1"/>
    </row>
    <row r="356" spans="5:7" ht="30">
      <c r="E356" s="24"/>
      <c r="G356" s="1"/>
    </row>
    <row r="357" spans="5:7" ht="30">
      <c r="E357" s="24"/>
      <c r="G357" s="1"/>
    </row>
    <row r="358" spans="5:7" ht="30">
      <c r="E358" s="24"/>
      <c r="G358" s="1"/>
    </row>
    <row r="359" spans="5:7" ht="30">
      <c r="E359" s="24"/>
      <c r="G359" s="1"/>
    </row>
    <row r="360" spans="5:7" ht="30">
      <c r="E360" s="24"/>
      <c r="G360" s="1"/>
    </row>
    <row r="361" spans="5:7" ht="30">
      <c r="E361" s="24"/>
      <c r="G361" s="1"/>
    </row>
    <row r="362" spans="5:7" ht="30">
      <c r="E362" s="24"/>
      <c r="G362" s="1"/>
    </row>
    <row r="363" spans="5:7" ht="30">
      <c r="E363" s="24"/>
      <c r="G363" s="1"/>
    </row>
    <row r="364" spans="5:7" ht="30">
      <c r="E364" s="24"/>
      <c r="G364" s="1"/>
    </row>
    <row r="365" spans="5:7" ht="30">
      <c r="E365" s="24"/>
      <c r="G365" s="1"/>
    </row>
    <row r="366" spans="5:7" ht="30">
      <c r="E366" s="24"/>
      <c r="G366" s="1"/>
    </row>
    <row r="367" spans="5:7" ht="30">
      <c r="E367" s="24"/>
      <c r="G367" s="1"/>
    </row>
    <row r="368" spans="5:7" ht="30">
      <c r="E368" s="24"/>
      <c r="G368" s="1"/>
    </row>
    <row r="369" spans="5:7" ht="30">
      <c r="E369" s="24"/>
      <c r="G369" s="1"/>
    </row>
    <row r="370" spans="5:7" ht="30">
      <c r="E370" s="24"/>
      <c r="G370" s="1"/>
    </row>
    <row r="371" spans="5:7" ht="30">
      <c r="E371" s="24"/>
      <c r="G371" s="1"/>
    </row>
    <row r="372" spans="5:7" ht="30">
      <c r="E372" s="24"/>
      <c r="G372" s="1"/>
    </row>
    <row r="373" spans="5:7" ht="30">
      <c r="E373" s="24"/>
      <c r="G373" s="1"/>
    </row>
    <row r="374" spans="5:7" ht="30">
      <c r="E374" s="24"/>
      <c r="G374" s="1"/>
    </row>
    <row r="375" spans="5:7" ht="30">
      <c r="E375" s="24"/>
      <c r="G375" s="1"/>
    </row>
    <row r="376" spans="5:7" ht="30">
      <c r="E376" s="24"/>
      <c r="G376" s="1"/>
    </row>
    <row r="377" spans="5:7" ht="30">
      <c r="E377" s="24"/>
      <c r="G377" s="1"/>
    </row>
    <row r="378" spans="5:7" ht="30">
      <c r="E378" s="24"/>
      <c r="G378" s="1"/>
    </row>
    <row r="379" spans="5:7" ht="30">
      <c r="E379" s="24"/>
      <c r="G379" s="1"/>
    </row>
    <row r="380" spans="5:7" ht="30">
      <c r="E380" s="24"/>
      <c r="G380" s="1"/>
    </row>
    <row r="381" spans="5:7" ht="30">
      <c r="E381" s="24"/>
      <c r="G381" s="1"/>
    </row>
    <row r="382" spans="5:7" ht="30">
      <c r="E382" s="24"/>
      <c r="G382" s="1"/>
    </row>
    <row r="383" spans="5:7" ht="30">
      <c r="E383" s="24"/>
      <c r="G383" s="1"/>
    </row>
    <row r="384" spans="5:7" ht="30">
      <c r="E384" s="24"/>
      <c r="G384" s="1"/>
    </row>
    <row r="385" spans="5:7" ht="30">
      <c r="E385" s="24"/>
      <c r="G385" s="1"/>
    </row>
    <row r="386" spans="5:7" ht="30">
      <c r="E386" s="24"/>
      <c r="G386" s="1"/>
    </row>
    <row r="387" spans="5:7" ht="30">
      <c r="E387" s="24"/>
      <c r="G387" s="1"/>
    </row>
    <row r="388" spans="5:7" ht="30">
      <c r="E388" s="24"/>
      <c r="G388" s="1"/>
    </row>
    <row r="389" spans="5:7" ht="30">
      <c r="E389" s="24"/>
      <c r="G389" s="1"/>
    </row>
    <row r="390" spans="5:7" ht="30">
      <c r="E390" s="24"/>
      <c r="G390" s="1"/>
    </row>
    <row r="391" spans="5:7" ht="30">
      <c r="E391" s="24"/>
      <c r="G391" s="1"/>
    </row>
    <row r="392" spans="5:7" ht="30">
      <c r="E392" s="24"/>
      <c r="G392" s="1"/>
    </row>
    <row r="393" spans="5:7" ht="30">
      <c r="E393" s="24"/>
      <c r="G393" s="1"/>
    </row>
    <row r="394" spans="5:7" ht="30">
      <c r="E394" s="24"/>
      <c r="G394" s="1"/>
    </row>
    <row r="395" spans="5:7" ht="30">
      <c r="E395" s="24"/>
      <c r="G395" s="1"/>
    </row>
    <row r="396" spans="5:7" ht="30">
      <c r="E396" s="24"/>
      <c r="G396" s="1"/>
    </row>
    <row r="397" spans="5:7" ht="30">
      <c r="E397" s="24"/>
      <c r="G397" s="1"/>
    </row>
    <row r="398" spans="5:7" ht="30">
      <c r="E398" s="24"/>
      <c r="G398" s="1"/>
    </row>
    <row r="399" spans="5:7" ht="30">
      <c r="E399" s="24"/>
      <c r="G399" s="1"/>
    </row>
    <row r="400" spans="5:7" ht="30">
      <c r="E400" s="24"/>
      <c r="G400" s="1"/>
    </row>
    <row r="401" spans="5:7" ht="30">
      <c r="E401" s="24"/>
      <c r="G401" s="1"/>
    </row>
    <row r="402" spans="5:7" ht="30">
      <c r="E402" s="24"/>
      <c r="G402" s="1"/>
    </row>
    <row r="403" spans="5:7" ht="30">
      <c r="E403" s="24"/>
      <c r="G403" s="1"/>
    </row>
    <row r="404" spans="5:7" ht="30">
      <c r="E404" s="24"/>
      <c r="G404" s="1"/>
    </row>
    <row r="405" spans="5:7" ht="30">
      <c r="E405" s="24"/>
      <c r="G405" s="1"/>
    </row>
    <row r="406" spans="5:7" ht="30">
      <c r="E406" s="24"/>
      <c r="G406" s="1"/>
    </row>
    <row r="407" spans="5:7" ht="30">
      <c r="E407" s="24"/>
      <c r="G407" s="1"/>
    </row>
    <row r="408" spans="5:7" ht="30">
      <c r="E408" s="24"/>
      <c r="G408" s="1"/>
    </row>
    <row r="409" spans="5:7" ht="30">
      <c r="E409" s="24"/>
      <c r="G409" s="1"/>
    </row>
    <row r="410" spans="5:7" ht="30">
      <c r="E410" s="24"/>
      <c r="G410" s="1"/>
    </row>
    <row r="411" spans="5:7" ht="30">
      <c r="E411" s="24"/>
      <c r="G411" s="1"/>
    </row>
    <row r="412" spans="5:7" ht="30">
      <c r="E412" s="24"/>
      <c r="G412" s="1"/>
    </row>
    <row r="413" spans="5:7" ht="30">
      <c r="E413" s="24"/>
      <c r="G413" s="1"/>
    </row>
    <row r="414" spans="5:7" ht="30">
      <c r="E414" s="24"/>
      <c r="G414" s="1"/>
    </row>
    <row r="415" spans="5:7" ht="30">
      <c r="E415" s="24"/>
      <c r="G415" s="1"/>
    </row>
    <row r="416" spans="5:7" ht="30">
      <c r="E416" s="24"/>
      <c r="G416" s="1"/>
    </row>
    <row r="417" spans="5:7" ht="30">
      <c r="E417" s="24"/>
      <c r="G417" s="1"/>
    </row>
    <row r="418" spans="5:7" ht="30">
      <c r="E418" s="24"/>
      <c r="G418" s="1"/>
    </row>
    <row r="419" spans="5:7" ht="30">
      <c r="E419" s="24"/>
      <c r="G419" s="1"/>
    </row>
    <row r="420" spans="5:7" ht="30">
      <c r="E420" s="24"/>
      <c r="G420" s="1"/>
    </row>
    <row r="421" spans="5:7" ht="30">
      <c r="E421" s="24"/>
      <c r="G421" s="1"/>
    </row>
    <row r="422" spans="5:7" ht="30">
      <c r="E422" s="24"/>
      <c r="G422" s="1"/>
    </row>
    <row r="423" spans="5:7" ht="30">
      <c r="E423" s="24"/>
      <c r="G423" s="1"/>
    </row>
    <row r="424" spans="5:7" ht="30">
      <c r="E424" s="24"/>
      <c r="G424" s="1"/>
    </row>
    <row r="425" spans="5:7" ht="30">
      <c r="E425" s="24"/>
      <c r="G425" s="1"/>
    </row>
    <row r="426" spans="5:7" ht="30">
      <c r="E426" s="24"/>
      <c r="G426" s="1"/>
    </row>
    <row r="427" spans="5:7" ht="30">
      <c r="E427" s="24"/>
      <c r="G427" s="1"/>
    </row>
    <row r="428" spans="5:7" ht="30">
      <c r="E428" s="24"/>
      <c r="G428" s="1"/>
    </row>
    <row r="429" spans="5:7" ht="30">
      <c r="E429" s="24"/>
      <c r="G429" s="1"/>
    </row>
    <row r="430" spans="5:7" ht="30">
      <c r="E430" s="24"/>
      <c r="G430" s="1"/>
    </row>
    <row r="431" spans="5:7" ht="30">
      <c r="E431" s="24"/>
      <c r="G431" s="1"/>
    </row>
    <row r="432" spans="5:7" ht="30">
      <c r="E432" s="24"/>
      <c r="G432" s="1"/>
    </row>
    <row r="433" spans="5:7" ht="30">
      <c r="E433" s="24"/>
      <c r="G433" s="1"/>
    </row>
    <row r="434" spans="5:7" ht="30">
      <c r="E434" s="24"/>
      <c r="G434" s="1"/>
    </row>
    <row r="435" spans="5:7" ht="30">
      <c r="E435" s="24"/>
      <c r="G435" s="1"/>
    </row>
    <row r="436" spans="5:7" ht="30">
      <c r="E436" s="24"/>
      <c r="G436" s="1"/>
    </row>
    <row r="437" spans="5:7" ht="30">
      <c r="E437" s="24"/>
      <c r="G437" s="1"/>
    </row>
    <row r="438" spans="5:7" ht="30">
      <c r="E438" s="24"/>
      <c r="G438" s="1"/>
    </row>
    <row r="439" spans="5:7" ht="30">
      <c r="E439" s="24"/>
      <c r="G439" s="1"/>
    </row>
    <row r="440" spans="5:7" ht="30">
      <c r="E440" s="24"/>
      <c r="G440" s="1"/>
    </row>
    <row r="441" spans="5:7" ht="30">
      <c r="E441" s="24"/>
      <c r="G441" s="1"/>
    </row>
    <row r="442" spans="5:7" ht="30">
      <c r="E442" s="24"/>
      <c r="G442" s="1"/>
    </row>
    <row r="443" spans="5:7" ht="30">
      <c r="E443" s="24"/>
      <c r="G443" s="1"/>
    </row>
    <row r="444" spans="5:7" ht="30">
      <c r="E444" s="24"/>
      <c r="G444" s="1"/>
    </row>
    <row r="445" spans="5:7" ht="30">
      <c r="E445" s="24"/>
      <c r="G445" s="1"/>
    </row>
    <row r="446" spans="5:7" ht="30">
      <c r="E446" s="24"/>
      <c r="G446" s="1"/>
    </row>
    <row r="447" spans="5:7" ht="30">
      <c r="E447" s="24"/>
      <c r="G447" s="1"/>
    </row>
    <row r="448" spans="5:7" ht="30">
      <c r="E448" s="24"/>
      <c r="G448" s="1"/>
    </row>
    <row r="449" spans="5:7" ht="30">
      <c r="E449" s="24"/>
      <c r="G449" s="1"/>
    </row>
    <row r="450" spans="5:7" ht="30">
      <c r="E450" s="24"/>
      <c r="G450" s="1"/>
    </row>
    <row r="451" spans="5:7" ht="30">
      <c r="E451" s="24"/>
      <c r="G451" s="1"/>
    </row>
    <row r="452" spans="5:7" ht="30">
      <c r="E452" s="24"/>
      <c r="G452" s="1"/>
    </row>
    <row r="453" spans="5:7" ht="30">
      <c r="E453" s="24"/>
      <c r="G453" s="1"/>
    </row>
    <row r="454" spans="5:7" ht="30">
      <c r="E454" s="24"/>
      <c r="G454" s="1"/>
    </row>
    <row r="455" spans="5:7" ht="30">
      <c r="E455" s="24"/>
      <c r="G455" s="1"/>
    </row>
    <row r="456" spans="5:7" ht="30">
      <c r="E456" s="24"/>
      <c r="G456" s="1"/>
    </row>
    <row r="457" spans="5:7" ht="30">
      <c r="E457" s="24"/>
      <c r="G457" s="1"/>
    </row>
    <row r="458" spans="5:7" ht="30">
      <c r="E458" s="24"/>
      <c r="G458" s="1"/>
    </row>
    <row r="459" spans="5:7" ht="30">
      <c r="E459" s="24"/>
      <c r="G459" s="1"/>
    </row>
    <row r="460" spans="5:7" ht="30">
      <c r="E460" s="24"/>
      <c r="G460" s="1"/>
    </row>
    <row r="461" spans="5:7" ht="30">
      <c r="E461" s="24"/>
      <c r="G461" s="1"/>
    </row>
    <row r="462" spans="5:7" ht="30">
      <c r="E462" s="24"/>
      <c r="G462" s="1"/>
    </row>
    <row r="463" spans="5:7" ht="30">
      <c r="E463" s="24"/>
      <c r="G463" s="1"/>
    </row>
    <row r="464" spans="5:7" ht="30">
      <c r="E464" s="24"/>
      <c r="G464" s="1"/>
    </row>
    <row r="465" spans="5:7" ht="30">
      <c r="E465" s="24"/>
      <c r="G465" s="1"/>
    </row>
    <row r="466" spans="5:7" ht="30">
      <c r="E466" s="24"/>
      <c r="G466" s="1"/>
    </row>
    <row r="467" spans="5:7" ht="30">
      <c r="E467" s="24"/>
      <c r="G467" s="1"/>
    </row>
    <row r="468" spans="5:7" ht="30">
      <c r="E468" s="24"/>
      <c r="G468" s="1"/>
    </row>
    <row r="469" spans="5:7" ht="30">
      <c r="E469" s="24"/>
      <c r="G469" s="1"/>
    </row>
    <row r="470" spans="5:7" ht="30">
      <c r="E470" s="24"/>
      <c r="G470" s="1"/>
    </row>
    <row r="471" spans="5:7" ht="30">
      <c r="E471" s="24"/>
      <c r="G471" s="1"/>
    </row>
    <row r="472" spans="5:7" ht="30">
      <c r="E472" s="24"/>
      <c r="G472" s="1"/>
    </row>
    <row r="473" spans="5:7" ht="30">
      <c r="E473" s="24"/>
      <c r="G473" s="1"/>
    </row>
    <row r="474" spans="5:7" ht="30">
      <c r="E474" s="24"/>
      <c r="G474" s="1"/>
    </row>
    <row r="475" spans="5:7" ht="30">
      <c r="E475" s="24"/>
      <c r="G475" s="1"/>
    </row>
    <row r="476" spans="5:7" ht="30">
      <c r="E476" s="24"/>
      <c r="G476" s="1"/>
    </row>
    <row r="477" spans="5:7" ht="30">
      <c r="E477" s="24"/>
      <c r="G477" s="1"/>
    </row>
    <row r="478" spans="5:7" ht="30">
      <c r="E478" s="24"/>
      <c r="G478" s="1"/>
    </row>
    <row r="479" spans="5:7" ht="30">
      <c r="E479" s="24"/>
      <c r="G479" s="1"/>
    </row>
    <row r="480" spans="5:7" ht="30">
      <c r="E480" s="24"/>
      <c r="G480" s="1"/>
    </row>
    <row r="481" spans="5:7" ht="30">
      <c r="E481" s="24"/>
      <c r="G481" s="1"/>
    </row>
    <row r="482" spans="5:7" ht="30">
      <c r="E482" s="24"/>
      <c r="G482" s="1"/>
    </row>
    <row r="483" spans="5:7" ht="30">
      <c r="E483" s="24"/>
      <c r="G483" s="1"/>
    </row>
    <row r="484" spans="5:7" ht="30">
      <c r="E484" s="24"/>
      <c r="G484" s="1"/>
    </row>
    <row r="485" spans="5:7" ht="30">
      <c r="E485" s="24"/>
      <c r="G485" s="1"/>
    </row>
    <row r="486" spans="5:7" ht="30">
      <c r="E486" s="24"/>
      <c r="G486" s="1"/>
    </row>
    <row r="487" spans="5:7" ht="30">
      <c r="E487" s="24"/>
      <c r="G487" s="1"/>
    </row>
    <row r="488" spans="5:7" ht="30">
      <c r="E488" s="24"/>
      <c r="G488" s="1"/>
    </row>
    <row r="489" spans="5:7" ht="30">
      <c r="E489" s="24"/>
      <c r="G489" s="1"/>
    </row>
    <row r="490" spans="5:7" ht="30">
      <c r="E490" s="24"/>
      <c r="G490" s="1"/>
    </row>
    <row r="491" spans="5:7" ht="30">
      <c r="E491" s="24"/>
      <c r="G491" s="1"/>
    </row>
    <row r="492" spans="5:7" ht="30">
      <c r="E492" s="24"/>
      <c r="G492" s="1"/>
    </row>
    <row r="493" spans="5:7" ht="30">
      <c r="E493" s="24"/>
      <c r="G493" s="1"/>
    </row>
    <row r="494" spans="5:7" ht="30">
      <c r="E494" s="24"/>
      <c r="G494" s="1"/>
    </row>
    <row r="495" spans="5:7" ht="30">
      <c r="E495" s="24"/>
      <c r="G495" s="1"/>
    </row>
    <row r="496" spans="5:7" ht="30">
      <c r="E496" s="24"/>
      <c r="G496" s="1"/>
    </row>
    <row r="497" spans="5:7" ht="30">
      <c r="E497" s="24"/>
      <c r="G497" s="1"/>
    </row>
    <row r="498" spans="5:7" ht="30">
      <c r="E498" s="24"/>
      <c r="G498" s="1"/>
    </row>
    <row r="499" spans="5:7" ht="30">
      <c r="E499" s="24"/>
      <c r="G499" s="1"/>
    </row>
    <row r="500" spans="5:7" ht="30">
      <c r="E500" s="24"/>
      <c r="G500" s="1"/>
    </row>
    <row r="501" spans="5:7" ht="30">
      <c r="E501" s="24"/>
      <c r="G501" s="1"/>
    </row>
    <row r="502" spans="5:7" ht="30">
      <c r="E502" s="24"/>
      <c r="G502" s="1"/>
    </row>
    <row r="503" spans="5:7" ht="30">
      <c r="E503" s="24"/>
      <c r="G503" s="1"/>
    </row>
    <row r="504" spans="5:7" ht="30">
      <c r="E504" s="24"/>
      <c r="G504" s="1"/>
    </row>
    <row r="505" spans="5:7" ht="30">
      <c r="E505" s="24"/>
      <c r="G505" s="1"/>
    </row>
    <row r="506" spans="5:7" ht="30">
      <c r="E506" s="24"/>
      <c r="G506" s="1"/>
    </row>
    <row r="507" spans="5:7" ht="30">
      <c r="E507" s="24"/>
      <c r="G507" s="1"/>
    </row>
    <row r="508" spans="5:7" ht="30">
      <c r="E508" s="24"/>
      <c r="G508" s="1"/>
    </row>
    <row r="509" spans="5:7" ht="30">
      <c r="E509" s="24"/>
      <c r="G509" s="1"/>
    </row>
    <row r="510" spans="5:7" ht="30">
      <c r="E510" s="24"/>
      <c r="G510" s="1"/>
    </row>
    <row r="511" spans="5:7" ht="30">
      <c r="E511" s="24"/>
      <c r="G511" s="1"/>
    </row>
    <row r="512" spans="5:7" ht="30">
      <c r="E512" s="24"/>
      <c r="G512" s="1"/>
    </row>
    <row r="513" spans="5:7" ht="30">
      <c r="E513" s="24"/>
      <c r="G513" s="1"/>
    </row>
    <row r="514" spans="5:7" ht="30">
      <c r="E514" s="24"/>
      <c r="G514" s="1"/>
    </row>
    <row r="515" spans="5:7" ht="30">
      <c r="E515" s="24"/>
      <c r="G515" s="1"/>
    </row>
    <row r="516" spans="5:7" ht="30">
      <c r="E516" s="24"/>
      <c r="G516" s="1"/>
    </row>
    <row r="517" spans="5:7" ht="30">
      <c r="E517" s="24"/>
      <c r="G517" s="1"/>
    </row>
    <row r="518" spans="5:7" ht="30">
      <c r="E518" s="24"/>
      <c r="G518" s="1"/>
    </row>
    <row r="519" spans="5:7" ht="30">
      <c r="E519" s="24"/>
      <c r="G519" s="1"/>
    </row>
    <row r="520" spans="5:7" ht="30">
      <c r="E520" s="24"/>
      <c r="G520" s="1"/>
    </row>
    <row r="521" spans="5:7" ht="30">
      <c r="E521" s="24"/>
      <c r="G521" s="1"/>
    </row>
    <row r="522" spans="5:7" ht="30">
      <c r="E522" s="24"/>
      <c r="G522" s="1"/>
    </row>
    <row r="523" spans="5:7" ht="30">
      <c r="E523" s="24"/>
      <c r="G523" s="1"/>
    </row>
    <row r="524" spans="5:7" ht="30">
      <c r="E524" s="24"/>
      <c r="G524" s="1"/>
    </row>
    <row r="525" spans="5:7" ht="30">
      <c r="E525" s="24"/>
      <c r="G525" s="1"/>
    </row>
    <row r="526" spans="5:7" ht="30">
      <c r="E526" s="24"/>
      <c r="G526" s="1"/>
    </row>
    <row r="527" spans="5:7" ht="30">
      <c r="E527" s="24"/>
      <c r="G527" s="1"/>
    </row>
    <row r="528" spans="5:7" ht="30">
      <c r="E528" s="24"/>
      <c r="G528" s="1"/>
    </row>
    <row r="529" spans="5:7" ht="30">
      <c r="E529" s="24"/>
      <c r="G529" s="1"/>
    </row>
    <row r="530" spans="5:7" ht="30">
      <c r="E530" s="24"/>
      <c r="G530" s="1"/>
    </row>
    <row r="531" spans="5:7" ht="30">
      <c r="E531" s="24"/>
      <c r="G531" s="1"/>
    </row>
    <row r="532" spans="5:7" ht="30">
      <c r="E532" s="24"/>
      <c r="G532" s="1"/>
    </row>
    <row r="533" spans="5:7" ht="30">
      <c r="E533" s="24"/>
      <c r="G533" s="1"/>
    </row>
    <row r="534" spans="5:7" ht="30">
      <c r="E534" s="24"/>
      <c r="G534" s="1"/>
    </row>
    <row r="535" spans="5:7" ht="30">
      <c r="E535" s="24"/>
      <c r="G535" s="1"/>
    </row>
    <row r="536" spans="5:7" ht="30">
      <c r="E536" s="24"/>
      <c r="G536" s="1"/>
    </row>
    <row r="537" spans="5:7" ht="30">
      <c r="E537" s="24"/>
      <c r="G537" s="1"/>
    </row>
    <row r="538" spans="5:7" ht="30">
      <c r="E538" s="24"/>
      <c r="G538" s="1"/>
    </row>
    <row r="539" spans="5:7" ht="30">
      <c r="E539" s="24"/>
      <c r="G539" s="1"/>
    </row>
    <row r="540" spans="5:7" ht="30">
      <c r="E540" s="24"/>
      <c r="G540" s="1"/>
    </row>
    <row r="541" spans="5:7" ht="30">
      <c r="E541" s="24"/>
      <c r="G541" s="1"/>
    </row>
    <row r="542" spans="5:7" ht="30">
      <c r="E542" s="24"/>
      <c r="G542" s="1"/>
    </row>
    <row r="543" spans="5:7" ht="30">
      <c r="E543" s="24"/>
      <c r="G543" s="1"/>
    </row>
    <row r="544" spans="5:7" ht="30">
      <c r="E544" s="24"/>
      <c r="G544" s="1"/>
    </row>
    <row r="545" spans="5:7" ht="30">
      <c r="E545" s="24"/>
      <c r="G545" s="1"/>
    </row>
    <row r="546" spans="5:7" ht="30">
      <c r="E546" s="24"/>
      <c r="G546" s="1"/>
    </row>
    <row r="547" spans="5:7" ht="30">
      <c r="E547" s="24"/>
      <c r="G547" s="1"/>
    </row>
    <row r="548" spans="5:7" ht="30">
      <c r="E548" s="24"/>
      <c r="G548" s="1"/>
    </row>
    <row r="549" spans="5:7" ht="30">
      <c r="E549" s="24"/>
      <c r="G549" s="1"/>
    </row>
    <row r="550" spans="5:7" ht="30">
      <c r="E550" s="24"/>
      <c r="G550" s="1"/>
    </row>
    <row r="551" spans="5:7" ht="30">
      <c r="E551" s="24"/>
      <c r="G551" s="1"/>
    </row>
    <row r="552" spans="5:7" ht="30">
      <c r="E552" s="24"/>
      <c r="G552" s="1"/>
    </row>
    <row r="553" spans="5:7" ht="30">
      <c r="E553" s="24"/>
      <c r="G553" s="1"/>
    </row>
    <row r="554" spans="5:7" ht="30">
      <c r="E554" s="24"/>
      <c r="G554" s="1"/>
    </row>
    <row r="555" spans="5:7" ht="30">
      <c r="E555" s="24"/>
      <c r="G555" s="1"/>
    </row>
    <row r="556" spans="5:7" ht="30">
      <c r="E556" s="24"/>
      <c r="G556" s="1"/>
    </row>
    <row r="557" spans="5:7" ht="30">
      <c r="E557" s="24"/>
      <c r="G557" s="1"/>
    </row>
    <row r="558" spans="5:7" ht="30">
      <c r="E558" s="24"/>
      <c r="G558" s="1"/>
    </row>
    <row r="559" spans="5:7" ht="30">
      <c r="E559" s="24"/>
      <c r="G559" s="1"/>
    </row>
    <row r="560" spans="5:7" ht="30">
      <c r="E560" s="24"/>
      <c r="G560" s="1"/>
    </row>
    <row r="561" spans="5:7" ht="30">
      <c r="E561" s="24"/>
      <c r="G561" s="1"/>
    </row>
    <row r="562" spans="5:7" ht="30">
      <c r="E562" s="24"/>
      <c r="G562" s="1"/>
    </row>
    <row r="563" spans="5:7" ht="30">
      <c r="E563" s="24"/>
      <c r="G563" s="1"/>
    </row>
    <row r="564" spans="5:7" ht="30">
      <c r="E564" s="24"/>
      <c r="G564" s="1"/>
    </row>
    <row r="565" spans="5:7" ht="30">
      <c r="E565" s="24"/>
      <c r="G565" s="1"/>
    </row>
    <row r="566" spans="5:7" ht="30">
      <c r="E566" s="24"/>
      <c r="G566" s="1"/>
    </row>
    <row r="567" spans="5:7" ht="30">
      <c r="E567" s="24"/>
      <c r="G567" s="1"/>
    </row>
    <row r="568" spans="5:7" ht="30">
      <c r="E568" s="24"/>
      <c r="G568" s="1"/>
    </row>
    <row r="569" spans="5:7" ht="30">
      <c r="E569" s="24"/>
      <c r="G569" s="1"/>
    </row>
    <row r="570" spans="5:7" ht="30">
      <c r="E570" s="24"/>
      <c r="G570" s="1"/>
    </row>
    <row r="571" spans="5:7" ht="30">
      <c r="E571" s="24"/>
      <c r="G571" s="1"/>
    </row>
    <row r="572" spans="5:7" ht="30">
      <c r="E572" s="24"/>
      <c r="G572" s="1"/>
    </row>
    <row r="573" spans="5:7" ht="30">
      <c r="E573" s="24"/>
      <c r="G573" s="1"/>
    </row>
    <row r="574" spans="5:7" ht="30">
      <c r="E574" s="24"/>
      <c r="G574" s="1"/>
    </row>
    <row r="575" spans="5:7" ht="30">
      <c r="E575" s="24"/>
      <c r="G575" s="1"/>
    </row>
    <row r="576" spans="5:7" ht="30">
      <c r="E576" s="24"/>
      <c r="G576" s="1"/>
    </row>
    <row r="577" spans="5:7" ht="30">
      <c r="E577" s="24"/>
      <c r="G577" s="1"/>
    </row>
    <row r="578" spans="5:7" ht="30">
      <c r="E578" s="24"/>
      <c r="G578" s="1"/>
    </row>
    <row r="579" spans="5:7" ht="30">
      <c r="E579" s="24"/>
      <c r="G579" s="1"/>
    </row>
    <row r="580" spans="5:7" ht="30">
      <c r="E580" s="24"/>
      <c r="G580" s="1"/>
    </row>
    <row r="581" spans="5:7" ht="30">
      <c r="E581" s="24"/>
      <c r="G581" s="1"/>
    </row>
    <row r="582" spans="5:7" ht="30">
      <c r="E582" s="24"/>
      <c r="G582" s="1"/>
    </row>
    <row r="583" spans="5:7" ht="30">
      <c r="E583" s="24"/>
      <c r="G583" s="1"/>
    </row>
    <row r="584" spans="5:7" ht="30">
      <c r="E584" s="24"/>
      <c r="G584" s="1"/>
    </row>
    <row r="585" spans="5:7" ht="30">
      <c r="E585" s="24"/>
      <c r="G585" s="1"/>
    </row>
    <row r="586" spans="5:7" ht="30">
      <c r="E586" s="24"/>
      <c r="G586" s="1"/>
    </row>
    <row r="587" spans="5:7" ht="30">
      <c r="E587" s="24"/>
      <c r="G587" s="1"/>
    </row>
    <row r="588" spans="5:7" ht="30">
      <c r="E588" s="24"/>
      <c r="G588" s="1"/>
    </row>
    <row r="589" spans="5:7" ht="30">
      <c r="E589" s="24"/>
      <c r="G589" s="1"/>
    </row>
    <row r="590" spans="5:7" ht="30">
      <c r="E590" s="24"/>
      <c r="G590" s="1"/>
    </row>
    <row r="591" spans="5:7" ht="30">
      <c r="E591" s="24"/>
      <c r="G591" s="1"/>
    </row>
    <row r="592" spans="5:7" ht="30">
      <c r="E592" s="24"/>
      <c r="G592" s="1"/>
    </row>
    <row r="593" spans="5:7" ht="30">
      <c r="E593" s="24"/>
      <c r="G593" s="1"/>
    </row>
    <row r="594" spans="5:7" ht="30">
      <c r="E594" s="24"/>
      <c r="G594" s="1"/>
    </row>
    <row r="595" spans="5:7" ht="30">
      <c r="E595" s="24"/>
      <c r="G595" s="1"/>
    </row>
    <row r="596" spans="5:7" ht="30">
      <c r="E596" s="24"/>
      <c r="G596" s="1"/>
    </row>
    <row r="597" spans="5:7" ht="30">
      <c r="E597" s="24"/>
      <c r="G597" s="1"/>
    </row>
    <row r="598" spans="5:7" ht="30">
      <c r="E598" s="24"/>
      <c r="G598" s="1"/>
    </row>
    <row r="599" spans="5:7" ht="30">
      <c r="E599" s="24"/>
      <c r="G599" s="1"/>
    </row>
    <row r="600" spans="5:7" ht="30">
      <c r="E600" s="24"/>
      <c r="G600" s="1"/>
    </row>
    <row r="601" spans="5:7" ht="30">
      <c r="E601" s="24"/>
      <c r="G601" s="1"/>
    </row>
    <row r="602" spans="5:7" ht="30">
      <c r="E602" s="24"/>
      <c r="G602" s="1"/>
    </row>
    <row r="603" spans="5:7" ht="30">
      <c r="E603" s="24"/>
      <c r="G603" s="1"/>
    </row>
    <row r="604" spans="5:7" ht="30">
      <c r="E604" s="24"/>
      <c r="G604" s="1"/>
    </row>
    <row r="605" spans="5:7" ht="30">
      <c r="E605" s="24"/>
      <c r="G605" s="1"/>
    </row>
    <row r="606" spans="5:7" ht="30">
      <c r="E606" s="24"/>
      <c r="G606" s="1"/>
    </row>
    <row r="607" spans="5:7" ht="30">
      <c r="E607" s="24"/>
      <c r="G607" s="1"/>
    </row>
    <row r="608" spans="5:7" ht="30">
      <c r="E608" s="24"/>
      <c r="G608" s="1"/>
    </row>
    <row r="609" spans="5:7" ht="30">
      <c r="E609" s="24"/>
      <c r="G609" s="1"/>
    </row>
    <row r="610" spans="5:7" ht="30">
      <c r="E610" s="24"/>
      <c r="G610" s="1"/>
    </row>
    <row r="611" spans="5:7" ht="30">
      <c r="E611" s="24"/>
      <c r="G611" s="1"/>
    </row>
    <row r="612" spans="5:7" ht="30">
      <c r="E612" s="24"/>
      <c r="G612" s="1"/>
    </row>
    <row r="613" spans="5:7" ht="30">
      <c r="E613" s="24"/>
      <c r="G613" s="1"/>
    </row>
    <row r="614" spans="5:7" ht="30">
      <c r="E614" s="24"/>
      <c r="G614" s="1"/>
    </row>
    <row r="615" spans="5:7" ht="30">
      <c r="E615" s="24"/>
      <c r="G615" s="1"/>
    </row>
    <row r="616" spans="5:7" ht="30">
      <c r="E616" s="24"/>
      <c r="G616" s="1"/>
    </row>
    <row r="617" spans="5:7" ht="30">
      <c r="E617" s="24"/>
      <c r="G617" s="1"/>
    </row>
    <row r="618" spans="5:7" ht="30">
      <c r="E618" s="24"/>
      <c r="G618" s="1"/>
    </row>
    <row r="619" spans="5:7" ht="30">
      <c r="E619" s="24"/>
      <c r="G619" s="1"/>
    </row>
    <row r="620" spans="5:7" ht="30">
      <c r="E620" s="24"/>
      <c r="G620" s="1"/>
    </row>
    <row r="621" spans="5:7" ht="30">
      <c r="E621" s="24"/>
      <c r="G621" s="1"/>
    </row>
    <row r="622" spans="5:7" ht="30">
      <c r="E622" s="24"/>
      <c r="G622" s="1"/>
    </row>
    <row r="623" spans="5:7" ht="30">
      <c r="E623" s="24"/>
      <c r="G623" s="1"/>
    </row>
    <row r="624" spans="5:7" ht="30">
      <c r="E624" s="24"/>
      <c r="G624" s="1"/>
    </row>
    <row r="625" spans="5:7" ht="30">
      <c r="E625" s="24"/>
      <c r="G625" s="1"/>
    </row>
    <row r="626" spans="5:7" ht="30">
      <c r="E626" s="24"/>
      <c r="G626" s="1"/>
    </row>
    <row r="627" spans="5:7" ht="30">
      <c r="E627" s="24"/>
      <c r="G627" s="1"/>
    </row>
    <row r="628" spans="5:7" ht="30">
      <c r="E628" s="24"/>
      <c r="G628" s="1"/>
    </row>
    <row r="629" spans="5:7" ht="30">
      <c r="E629" s="24"/>
      <c r="G629" s="1"/>
    </row>
    <row r="630" spans="5:7" ht="30">
      <c r="E630" s="24"/>
      <c r="G630" s="1"/>
    </row>
    <row r="631" spans="5:7" ht="30">
      <c r="E631" s="24"/>
      <c r="G631" s="1"/>
    </row>
    <row r="632" spans="5:7" ht="30">
      <c r="E632" s="24"/>
      <c r="G632" s="1"/>
    </row>
    <row r="633" spans="5:7" ht="30">
      <c r="E633" s="24"/>
      <c r="G633" s="1"/>
    </row>
    <row r="634" spans="5:7" ht="30">
      <c r="E634" s="24"/>
      <c r="G634" s="1"/>
    </row>
    <row r="635" spans="5:7" ht="30">
      <c r="E635" s="24"/>
      <c r="G635" s="1"/>
    </row>
    <row r="636" spans="5:7" ht="30">
      <c r="E636" s="24"/>
      <c r="G636" s="1"/>
    </row>
    <row r="637" spans="5:7" ht="30">
      <c r="E637" s="24"/>
      <c r="G637" s="1"/>
    </row>
    <row r="638" spans="5:7" ht="30">
      <c r="E638" s="24"/>
      <c r="G638" s="1"/>
    </row>
    <row r="639" spans="5:7" ht="30">
      <c r="E639" s="24"/>
      <c r="G639" s="1"/>
    </row>
    <row r="640" spans="5:7" ht="30">
      <c r="E640" s="24"/>
      <c r="G640" s="1"/>
    </row>
    <row r="641" spans="5:7" ht="30">
      <c r="E641" s="24"/>
      <c r="G641" s="1"/>
    </row>
    <row r="642" spans="5:7" ht="30">
      <c r="E642" s="24"/>
      <c r="G642" s="1"/>
    </row>
    <row r="643" spans="5:7" ht="30">
      <c r="E643" s="24"/>
      <c r="G643" s="1"/>
    </row>
    <row r="644" spans="5:7" ht="30">
      <c r="E644" s="24"/>
      <c r="G644" s="1"/>
    </row>
    <row r="645" spans="5:7" ht="30">
      <c r="E645" s="24"/>
      <c r="G645" s="1"/>
    </row>
    <row r="646" spans="5:7" ht="30">
      <c r="E646" s="24"/>
      <c r="G646" s="1"/>
    </row>
    <row r="647" spans="5:7" ht="30">
      <c r="E647" s="24"/>
      <c r="G647" s="1"/>
    </row>
    <row r="648" spans="5:7" ht="30">
      <c r="E648" s="24"/>
      <c r="G648" s="1"/>
    </row>
    <row r="649" spans="5:7" ht="30">
      <c r="E649" s="24"/>
      <c r="G649" s="1"/>
    </row>
    <row r="650" spans="5:7" ht="30">
      <c r="E650" s="24"/>
      <c r="G650" s="1"/>
    </row>
    <row r="651" spans="5:7" ht="30">
      <c r="E651" s="24"/>
      <c r="G651" s="1"/>
    </row>
    <row r="652" spans="5:7" ht="30">
      <c r="E652" s="24"/>
      <c r="G652" s="1"/>
    </row>
    <row r="653" spans="5:7" ht="30">
      <c r="E653" s="24"/>
      <c r="G653" s="1"/>
    </row>
    <row r="654" spans="5:7" ht="30">
      <c r="E654" s="24"/>
      <c r="G654" s="1"/>
    </row>
    <row r="655" spans="5:7" ht="30">
      <c r="E655" s="24"/>
      <c r="G655" s="1"/>
    </row>
    <row r="656" spans="5:7" ht="30">
      <c r="E656" s="24"/>
      <c r="G656" s="1"/>
    </row>
    <row r="657" spans="5:7" ht="30">
      <c r="E657" s="24"/>
      <c r="G657" s="1"/>
    </row>
    <row r="658" spans="5:7" ht="30">
      <c r="E658" s="24"/>
      <c r="G658" s="1"/>
    </row>
    <row r="659" spans="5:7" ht="30">
      <c r="E659" s="24"/>
      <c r="G659" s="1"/>
    </row>
    <row r="660" spans="5:7" ht="30">
      <c r="E660" s="24"/>
      <c r="G660" s="1"/>
    </row>
    <row r="661" spans="5:7" ht="30">
      <c r="E661" s="24"/>
      <c r="G661" s="1"/>
    </row>
    <row r="662" spans="5:7" ht="30">
      <c r="E662" s="24"/>
      <c r="G662" s="1"/>
    </row>
    <row r="663" spans="5:7" ht="30">
      <c r="E663" s="24"/>
      <c r="G663" s="1"/>
    </row>
    <row r="664" spans="5:7" ht="30">
      <c r="E664" s="24"/>
      <c r="G664" s="1"/>
    </row>
    <row r="665" spans="5:7" ht="30">
      <c r="E665" s="24"/>
      <c r="G665" s="1"/>
    </row>
    <row r="666" spans="5:7" ht="30">
      <c r="E666" s="24"/>
      <c r="G666" s="1"/>
    </row>
    <row r="667" spans="5:7" ht="30">
      <c r="E667" s="24"/>
      <c r="G667" s="1"/>
    </row>
    <row r="668" spans="5:7" ht="30">
      <c r="E668" s="24"/>
      <c r="G668" s="1"/>
    </row>
    <row r="669" spans="5:7" ht="30">
      <c r="E669" s="24"/>
      <c r="G669" s="1"/>
    </row>
    <row r="670" spans="5:7" ht="30">
      <c r="E670" s="24"/>
      <c r="G670" s="1"/>
    </row>
    <row r="671" spans="5:7" ht="30">
      <c r="E671" s="24"/>
      <c r="G671" s="1"/>
    </row>
    <row r="672" spans="5:7" ht="30">
      <c r="E672" s="24"/>
      <c r="G672" s="1"/>
    </row>
    <row r="673" spans="5:7" ht="30">
      <c r="E673" s="24"/>
      <c r="G673" s="1"/>
    </row>
    <row r="674" spans="5:7" ht="30">
      <c r="E674" s="24"/>
      <c r="G674" s="1"/>
    </row>
    <row r="675" spans="5:7" ht="30">
      <c r="E675" s="24"/>
      <c r="G675" s="1"/>
    </row>
    <row r="676" spans="5:7" ht="30">
      <c r="E676" s="24"/>
      <c r="G676" s="1"/>
    </row>
    <row r="677" spans="5:7" ht="30">
      <c r="E677" s="24"/>
      <c r="G677" s="1"/>
    </row>
    <row r="678" spans="5:7" ht="30">
      <c r="E678" s="24"/>
      <c r="G678" s="1"/>
    </row>
    <row r="679" spans="5:7" ht="30">
      <c r="E679" s="24"/>
      <c r="G679" s="1"/>
    </row>
    <row r="680" spans="5:7" ht="30">
      <c r="E680" s="24"/>
      <c r="G680" s="1"/>
    </row>
    <row r="681" spans="5:7" ht="30">
      <c r="E681" s="24"/>
      <c r="G681" s="1"/>
    </row>
    <row r="682" spans="5:7" ht="30">
      <c r="E682" s="24"/>
      <c r="G682" s="1"/>
    </row>
    <row r="683" spans="5:7" ht="30">
      <c r="E683" s="24"/>
      <c r="G683" s="1"/>
    </row>
    <row r="684" spans="5:7" ht="30">
      <c r="E684" s="24"/>
      <c r="G684" s="1"/>
    </row>
    <row r="685" spans="5:7" ht="30">
      <c r="E685" s="24"/>
      <c r="G685" s="1"/>
    </row>
    <row r="686" spans="5:7" ht="30">
      <c r="E686" s="24"/>
      <c r="G686" s="1"/>
    </row>
    <row r="687" spans="5:7" ht="30">
      <c r="E687" s="24"/>
      <c r="G687" s="1"/>
    </row>
    <row r="688" spans="5:7" ht="30">
      <c r="E688" s="24"/>
      <c r="G688" s="1"/>
    </row>
    <row r="689" spans="5:7" ht="30">
      <c r="E689" s="24"/>
      <c r="G689" s="1"/>
    </row>
    <row r="690" spans="5:7" ht="30">
      <c r="E690" s="24"/>
      <c r="G690" s="1"/>
    </row>
    <row r="691" spans="5:7" ht="30">
      <c r="E691" s="24"/>
      <c r="G691" s="1"/>
    </row>
    <row r="692" spans="5:7" ht="30">
      <c r="E692" s="24"/>
      <c r="G692" s="1"/>
    </row>
    <row r="693" spans="5:7" ht="30">
      <c r="E693" s="24"/>
      <c r="G693" s="1"/>
    </row>
    <row r="694" spans="5:7" ht="30">
      <c r="E694" s="24"/>
      <c r="G694" s="1"/>
    </row>
    <row r="695" spans="5:7" ht="30">
      <c r="E695" s="24"/>
      <c r="G695" s="1"/>
    </row>
    <row r="696" spans="5:7" ht="30">
      <c r="E696" s="24"/>
      <c r="G696" s="1"/>
    </row>
    <row r="697" spans="5:7" ht="30">
      <c r="E697" s="24"/>
      <c r="G697" s="1"/>
    </row>
    <row r="698" spans="5:7" ht="30">
      <c r="E698" s="24"/>
      <c r="G698" s="1"/>
    </row>
    <row r="699" spans="5:7" ht="30">
      <c r="E699" s="24"/>
      <c r="G699" s="1"/>
    </row>
    <row r="700" spans="5:7" ht="30">
      <c r="E700" s="24"/>
      <c r="G700" s="1"/>
    </row>
    <row r="701" spans="5:7" ht="30">
      <c r="E701" s="24"/>
      <c r="G701" s="1"/>
    </row>
    <row r="702" spans="5:7" ht="30">
      <c r="E702" s="24"/>
      <c r="G702" s="1"/>
    </row>
    <row r="703" spans="5:7" ht="30">
      <c r="E703" s="24"/>
      <c r="G703" s="1"/>
    </row>
    <row r="704" spans="5:7" ht="30">
      <c r="E704" s="24"/>
      <c r="G704" s="1"/>
    </row>
    <row r="705" spans="5:7" ht="30">
      <c r="E705" s="24"/>
      <c r="G705" s="1"/>
    </row>
    <row r="706" spans="5:7" ht="30">
      <c r="E706" s="24"/>
      <c r="G706" s="1"/>
    </row>
    <row r="707" spans="5:7" ht="30">
      <c r="E707" s="24"/>
      <c r="G707" s="1"/>
    </row>
    <row r="708" spans="5:7" ht="30">
      <c r="E708" s="24"/>
      <c r="G708" s="1"/>
    </row>
    <row r="709" spans="5:7" ht="30">
      <c r="E709" s="24"/>
      <c r="G709" s="1"/>
    </row>
    <row r="710" spans="5:7" ht="30">
      <c r="E710" s="24"/>
      <c r="G710" s="1"/>
    </row>
    <row r="711" spans="5:7" ht="30">
      <c r="E711" s="24"/>
      <c r="G711" s="1"/>
    </row>
    <row r="712" spans="5:7" ht="30">
      <c r="E712" s="24"/>
      <c r="G712" s="1"/>
    </row>
    <row r="713" spans="5:7" ht="30">
      <c r="E713" s="24"/>
      <c r="G713" s="1"/>
    </row>
    <row r="714" spans="5:7" ht="30">
      <c r="E714" s="24"/>
      <c r="G714" s="1"/>
    </row>
    <row r="715" spans="5:7" ht="30">
      <c r="E715" s="24"/>
      <c r="G715" s="1"/>
    </row>
    <row r="716" spans="5:7" ht="30">
      <c r="E716" s="24"/>
      <c r="G716" s="1"/>
    </row>
    <row r="717" spans="5:7" ht="30">
      <c r="E717" s="24"/>
      <c r="G717" s="1"/>
    </row>
    <row r="718" spans="5:7" ht="30">
      <c r="E718" s="24"/>
      <c r="G718" s="1"/>
    </row>
    <row r="719" spans="5:7" ht="30">
      <c r="E719" s="24"/>
      <c r="G719" s="1"/>
    </row>
    <row r="720" spans="5:7" ht="30">
      <c r="E720" s="24"/>
      <c r="G720" s="1"/>
    </row>
    <row r="721" spans="5:7" ht="30">
      <c r="E721" s="24"/>
      <c r="G721" s="1"/>
    </row>
    <row r="722" spans="5:7" ht="30">
      <c r="E722" s="24"/>
      <c r="G722" s="1"/>
    </row>
    <row r="723" spans="5:7" ht="30">
      <c r="E723" s="24"/>
      <c r="G723" s="1"/>
    </row>
    <row r="724" spans="5:7" ht="30">
      <c r="E724" s="24"/>
      <c r="G724" s="1"/>
    </row>
    <row r="725" spans="5:7" ht="30">
      <c r="E725" s="24"/>
      <c r="G725" s="1"/>
    </row>
    <row r="726" spans="5:7" ht="30">
      <c r="E726" s="24"/>
      <c r="G726" s="1"/>
    </row>
    <row r="727" spans="5:7" ht="30">
      <c r="E727" s="24"/>
      <c r="G727" s="1"/>
    </row>
    <row r="728" spans="5:7" ht="30">
      <c r="E728" s="24"/>
      <c r="G728" s="1"/>
    </row>
    <row r="729" spans="5:7" ht="30">
      <c r="E729" s="24"/>
      <c r="G729" s="1"/>
    </row>
    <row r="730" spans="5:7" ht="30">
      <c r="E730" s="24"/>
      <c r="G730" s="1"/>
    </row>
    <row r="731" spans="5:7" ht="30">
      <c r="E731" s="24"/>
      <c r="G731" s="1"/>
    </row>
    <row r="732" spans="5:7" ht="30">
      <c r="E732" s="24"/>
      <c r="G732" s="1"/>
    </row>
    <row r="733" spans="5:7" ht="30">
      <c r="E733" s="24"/>
      <c r="G733" s="1"/>
    </row>
    <row r="734" spans="5:7" ht="30">
      <c r="E734" s="24"/>
      <c r="G734" s="1"/>
    </row>
    <row r="735" spans="5:7" ht="30">
      <c r="E735" s="24"/>
      <c r="G735" s="1"/>
    </row>
    <row r="736" spans="5:7" ht="30">
      <c r="E736" s="24"/>
      <c r="G736" s="1"/>
    </row>
    <row r="737" spans="5:7" ht="30">
      <c r="E737" s="24"/>
      <c r="G737" s="1"/>
    </row>
    <row r="738" spans="5:7" ht="30">
      <c r="E738" s="24"/>
      <c r="G738" s="1"/>
    </row>
    <row r="739" spans="5:7" ht="30">
      <c r="E739" s="24"/>
      <c r="G739" s="1"/>
    </row>
    <row r="740" spans="5:7" ht="30">
      <c r="E740" s="24"/>
      <c r="G740" s="1"/>
    </row>
    <row r="741" spans="5:7" ht="30">
      <c r="E741" s="24"/>
      <c r="G741" s="1"/>
    </row>
    <row r="742" spans="5:7" ht="30">
      <c r="E742" s="24"/>
      <c r="G742" s="1"/>
    </row>
    <row r="743" spans="5:7" ht="30">
      <c r="E743" s="24"/>
      <c r="G743" s="1"/>
    </row>
    <row r="744" spans="5:7" ht="30">
      <c r="E744" s="24"/>
      <c r="G744" s="1"/>
    </row>
    <row r="745" spans="5:7" ht="30">
      <c r="E745" s="24"/>
      <c r="G745" s="1"/>
    </row>
    <row r="746" spans="5:7" ht="30">
      <c r="E746" s="24"/>
      <c r="G746" s="1"/>
    </row>
    <row r="747" spans="5:7" ht="30">
      <c r="E747" s="24"/>
      <c r="G747" s="1"/>
    </row>
    <row r="748" spans="5:7" ht="30">
      <c r="E748" s="24"/>
      <c r="G748" s="1"/>
    </row>
    <row r="749" spans="5:7" ht="30">
      <c r="E749" s="24"/>
      <c r="G749" s="1"/>
    </row>
    <row r="750" spans="5:7" ht="30">
      <c r="E750" s="24"/>
      <c r="G750" s="1"/>
    </row>
    <row r="751" spans="5:7" ht="30">
      <c r="E751" s="24"/>
      <c r="G751" s="1"/>
    </row>
    <row r="752" spans="5:7" ht="30">
      <c r="E752" s="24"/>
      <c r="G752" s="1"/>
    </row>
    <row r="753" spans="5:7" ht="30">
      <c r="E753" s="24"/>
      <c r="G753" s="1"/>
    </row>
    <row r="754" spans="5:7" ht="30">
      <c r="E754" s="24"/>
      <c r="G754" s="1"/>
    </row>
    <row r="755" spans="5:7" ht="30">
      <c r="E755" s="24"/>
      <c r="G755" s="1"/>
    </row>
    <row r="756" spans="5:7" ht="30">
      <c r="E756" s="24"/>
      <c r="G756" s="1"/>
    </row>
    <row r="757" spans="5:7" ht="30">
      <c r="E757" s="24"/>
      <c r="G757" s="1"/>
    </row>
    <row r="758" spans="5:7" ht="30">
      <c r="E758" s="24"/>
      <c r="G758" s="1"/>
    </row>
    <row r="759" spans="5:7" ht="30">
      <c r="E759" s="24"/>
      <c r="G759" s="1"/>
    </row>
    <row r="760" spans="5:7" ht="30">
      <c r="E760" s="24"/>
      <c r="G760" s="1"/>
    </row>
    <row r="761" spans="5:7" ht="30">
      <c r="E761" s="24"/>
      <c r="G761" s="1"/>
    </row>
    <row r="762" spans="5:7" ht="30">
      <c r="E762" s="24"/>
      <c r="G762" s="1"/>
    </row>
    <row r="763" spans="5:7" ht="30">
      <c r="E763" s="24"/>
      <c r="G763" s="1"/>
    </row>
    <row r="764" spans="5:7" ht="30">
      <c r="E764" s="24"/>
      <c r="G764" s="1"/>
    </row>
    <row r="765" spans="5:7" ht="30">
      <c r="E765" s="24"/>
      <c r="G765" s="1"/>
    </row>
    <row r="766" spans="5:7" ht="30">
      <c r="E766" s="24"/>
      <c r="G766" s="1"/>
    </row>
    <row r="767" spans="5:7" ht="30">
      <c r="E767" s="24"/>
      <c r="G767" s="1"/>
    </row>
    <row r="768" spans="5:7" ht="30">
      <c r="E768" s="24"/>
      <c r="G768" s="1"/>
    </row>
    <row r="769" spans="5:7" ht="30">
      <c r="E769" s="24"/>
      <c r="G769" s="1"/>
    </row>
    <row r="770" spans="5:7" ht="30">
      <c r="E770" s="24"/>
      <c r="G770" s="1"/>
    </row>
    <row r="771" spans="5:7" ht="30">
      <c r="E771" s="24"/>
      <c r="G771" s="1"/>
    </row>
    <row r="772" spans="5:7" ht="30">
      <c r="E772" s="24"/>
      <c r="G772" s="1"/>
    </row>
    <row r="773" spans="5:7" ht="30">
      <c r="E773" s="24"/>
      <c r="G773" s="1"/>
    </row>
    <row r="774" spans="5:7" ht="30">
      <c r="E774" s="24"/>
      <c r="G774" s="1"/>
    </row>
    <row r="775" spans="5:7" ht="30">
      <c r="E775" s="24"/>
      <c r="G775" s="1"/>
    </row>
    <row r="776" spans="5:7" ht="30">
      <c r="E776" s="24"/>
      <c r="G776" s="1"/>
    </row>
    <row r="777" spans="5:7" ht="30">
      <c r="E777" s="24"/>
      <c r="G777" s="1"/>
    </row>
    <row r="778" spans="5:7" ht="30">
      <c r="E778" s="24"/>
      <c r="G778" s="1"/>
    </row>
    <row r="779" spans="5:7" ht="30">
      <c r="E779" s="24"/>
      <c r="G779" s="1"/>
    </row>
    <row r="780" spans="5:7" ht="30">
      <c r="E780" s="24"/>
      <c r="G780" s="1"/>
    </row>
    <row r="781" spans="5:7" ht="30">
      <c r="E781" s="24"/>
      <c r="G781" s="1"/>
    </row>
    <row r="782" spans="5:7" ht="30">
      <c r="E782" s="24"/>
      <c r="G782" s="1"/>
    </row>
    <row r="783" spans="5:7" ht="30">
      <c r="E783" s="24"/>
      <c r="G783" s="1"/>
    </row>
    <row r="784" spans="5:7" ht="30">
      <c r="E784" s="24"/>
      <c r="G784" s="1"/>
    </row>
    <row r="785" spans="5:7" ht="30">
      <c r="E785" s="24"/>
      <c r="G785" s="1"/>
    </row>
    <row r="786" spans="5:7" ht="30">
      <c r="E786" s="24"/>
      <c r="G786" s="1"/>
    </row>
    <row r="787" spans="5:7" ht="30">
      <c r="E787" s="24"/>
      <c r="G787" s="1"/>
    </row>
    <row r="788" spans="5:7" ht="30">
      <c r="E788" s="24"/>
      <c r="G788" s="1"/>
    </row>
    <row r="789" spans="5:7" ht="30">
      <c r="E789" s="24"/>
      <c r="G789" s="1"/>
    </row>
    <row r="790" spans="5:7" ht="30">
      <c r="E790" s="24"/>
      <c r="G790" s="1"/>
    </row>
    <row r="791" spans="5:7" ht="30">
      <c r="E791" s="24"/>
      <c r="G791" s="1"/>
    </row>
    <row r="792" spans="5:7" ht="30">
      <c r="E792" s="24"/>
      <c r="G792" s="1"/>
    </row>
    <row r="793" spans="5:7" ht="30">
      <c r="E793" s="24"/>
      <c r="G793" s="1"/>
    </row>
    <row r="794" spans="5:7" ht="30">
      <c r="E794" s="24"/>
      <c r="G794" s="1"/>
    </row>
    <row r="795" spans="5:7" ht="30">
      <c r="E795" s="24"/>
      <c r="G795" s="1"/>
    </row>
    <row r="796" spans="5:7" ht="30">
      <c r="E796" s="24"/>
      <c r="G796" s="1"/>
    </row>
    <row r="797" spans="5:7" ht="30">
      <c r="E797" s="24"/>
      <c r="G797" s="1"/>
    </row>
    <row r="798" spans="5:7" ht="30">
      <c r="E798" s="24"/>
      <c r="G798" s="1"/>
    </row>
    <row r="799" spans="5:7" ht="30">
      <c r="E799" s="24"/>
      <c r="G799" s="1"/>
    </row>
    <row r="800" spans="5:7" ht="30">
      <c r="E800" s="24"/>
      <c r="G800" s="1"/>
    </row>
    <row r="801" spans="5:7" ht="30">
      <c r="E801" s="24"/>
      <c r="G801" s="1"/>
    </row>
    <row r="802" spans="5:7" ht="30">
      <c r="E802" s="24"/>
      <c r="G802" s="1"/>
    </row>
    <row r="803" spans="5:7" ht="30">
      <c r="E803" s="24"/>
      <c r="G803" s="1"/>
    </row>
    <row r="804" spans="5:7" ht="30">
      <c r="E804" s="24"/>
      <c r="G804" s="1"/>
    </row>
    <row r="805" spans="5:7" ht="30">
      <c r="E805" s="24"/>
      <c r="G805" s="1"/>
    </row>
    <row r="806" spans="5:7" ht="30">
      <c r="E806" s="24"/>
      <c r="G806" s="1"/>
    </row>
    <row r="807" spans="5:7" ht="30">
      <c r="E807" s="24"/>
      <c r="G807" s="1"/>
    </row>
    <row r="808" spans="5:7" ht="30">
      <c r="E808" s="24"/>
      <c r="G808" s="1"/>
    </row>
    <row r="809" spans="5:7" ht="30">
      <c r="E809" s="24"/>
      <c r="G809" s="1"/>
    </row>
    <row r="810" spans="5:7" ht="30">
      <c r="E810" s="24"/>
      <c r="G810" s="1"/>
    </row>
    <row r="811" spans="5:7" ht="30">
      <c r="E811" s="24"/>
      <c r="G811" s="1"/>
    </row>
    <row r="812" spans="5:7" ht="30">
      <c r="E812" s="24"/>
      <c r="G812" s="1"/>
    </row>
    <row r="813" spans="5:7" ht="30">
      <c r="E813" s="24"/>
      <c r="G813" s="1"/>
    </row>
    <row r="814" spans="5:7" ht="30">
      <c r="E814" s="24"/>
      <c r="G814" s="1"/>
    </row>
    <row r="815" spans="5:7" ht="30">
      <c r="E815" s="24"/>
      <c r="G815" s="1"/>
    </row>
    <row r="816" spans="5:7" ht="30">
      <c r="E816" s="24"/>
      <c r="G816" s="1"/>
    </row>
    <row r="817" spans="5:7" ht="30">
      <c r="E817" s="24"/>
      <c r="G817" s="1"/>
    </row>
    <row r="818" spans="5:7" ht="30">
      <c r="E818" s="24"/>
      <c r="G818" s="1"/>
    </row>
    <row r="819" spans="5:7" ht="30">
      <c r="E819" s="24"/>
      <c r="G819" s="1"/>
    </row>
    <row r="820" spans="5:7" ht="30">
      <c r="E820" s="24"/>
      <c r="G820" s="1"/>
    </row>
    <row r="821" spans="5:7" ht="30">
      <c r="E821" s="24"/>
      <c r="G821" s="1"/>
    </row>
    <row r="822" spans="5:7" ht="30">
      <c r="E822" s="24"/>
      <c r="G822" s="1"/>
    </row>
    <row r="823" spans="5:7" ht="30">
      <c r="E823" s="24"/>
      <c r="G823" s="1"/>
    </row>
    <row r="824" spans="5:7" ht="30">
      <c r="E824" s="24"/>
      <c r="G824" s="1"/>
    </row>
    <row r="825" spans="5:7" ht="30">
      <c r="E825" s="24"/>
      <c r="G825" s="1"/>
    </row>
    <row r="826" spans="5:7" ht="30">
      <c r="E826" s="24"/>
      <c r="G826" s="1"/>
    </row>
    <row r="827" spans="5:7" ht="30">
      <c r="E827" s="24"/>
      <c r="G827" s="1"/>
    </row>
    <row r="828" spans="5:7" ht="30">
      <c r="E828" s="24"/>
      <c r="G828" s="1"/>
    </row>
    <row r="829" spans="5:7" ht="30">
      <c r="E829" s="24"/>
      <c r="G829" s="1"/>
    </row>
    <row r="830" spans="5:7" ht="30">
      <c r="E830" s="24"/>
      <c r="G830" s="1"/>
    </row>
    <row r="831" spans="5:7" ht="30">
      <c r="E831" s="24"/>
      <c r="G831" s="1"/>
    </row>
    <row r="832" spans="5:7" ht="30">
      <c r="E832" s="24"/>
      <c r="G832" s="1"/>
    </row>
    <row r="833" spans="5:7" ht="30">
      <c r="E833" s="24"/>
      <c r="G833" s="1"/>
    </row>
    <row r="834" spans="5:7" ht="30">
      <c r="E834" s="24"/>
      <c r="G834" s="1"/>
    </row>
    <row r="835" spans="5:7" ht="30">
      <c r="E835" s="24"/>
      <c r="G835" s="1"/>
    </row>
    <row r="836" spans="5:7" ht="30">
      <c r="E836" s="24"/>
      <c r="G836" s="1"/>
    </row>
    <row r="837" spans="5:7" ht="30">
      <c r="E837" s="24"/>
      <c r="G837" s="1"/>
    </row>
    <row r="838" spans="5:7" ht="30">
      <c r="E838" s="24"/>
      <c r="G838" s="1"/>
    </row>
    <row r="839" spans="5:7" ht="30">
      <c r="E839" s="24"/>
      <c r="G839" s="1"/>
    </row>
    <row r="840" spans="5:7" ht="30">
      <c r="E840" s="24"/>
      <c r="G840" s="1"/>
    </row>
    <row r="841" spans="5:7" ht="30">
      <c r="E841" s="24"/>
      <c r="G841" s="1"/>
    </row>
    <row r="842" spans="5:7" ht="30">
      <c r="E842" s="24"/>
      <c r="G842" s="1"/>
    </row>
    <row r="843" spans="5:7" ht="30">
      <c r="E843" s="24"/>
      <c r="G843" s="1"/>
    </row>
    <row r="844" spans="5:7" ht="30">
      <c r="E844" s="24"/>
      <c r="G844" s="1"/>
    </row>
    <row r="845" spans="5:7" ht="30">
      <c r="E845" s="24"/>
      <c r="G845" s="1"/>
    </row>
    <row r="846" spans="5:7" ht="30">
      <c r="E846" s="24"/>
      <c r="G846" s="1"/>
    </row>
    <row r="847" spans="5:7" ht="30">
      <c r="E847" s="24"/>
      <c r="G847" s="1"/>
    </row>
    <row r="848" spans="5:7" ht="30">
      <c r="E848" s="24"/>
      <c r="G848" s="1"/>
    </row>
    <row r="849" spans="5:7" ht="30">
      <c r="E849" s="24"/>
      <c r="G849" s="1"/>
    </row>
    <row r="850" spans="5:7" ht="30">
      <c r="E850" s="24"/>
      <c r="G850" s="1"/>
    </row>
    <row r="851" spans="5:7" ht="30">
      <c r="E851" s="24"/>
      <c r="G851" s="1"/>
    </row>
    <row r="852" spans="5:7" ht="30">
      <c r="E852" s="24"/>
      <c r="G852" s="1"/>
    </row>
    <row r="853" spans="5:7" ht="30">
      <c r="E853" s="24"/>
      <c r="G853" s="1"/>
    </row>
    <row r="854" spans="5:7" ht="30">
      <c r="E854" s="24"/>
      <c r="G854" s="1"/>
    </row>
    <row r="855" spans="5:7" ht="30">
      <c r="E855" s="24"/>
      <c r="G855" s="1"/>
    </row>
    <row r="856" spans="5:7" ht="30">
      <c r="E856" s="24"/>
      <c r="G856" s="1"/>
    </row>
    <row r="857" spans="5:7" ht="30">
      <c r="E857" s="24"/>
      <c r="G857" s="1"/>
    </row>
    <row r="858" spans="5:7" ht="30">
      <c r="E858" s="24"/>
      <c r="G858" s="1"/>
    </row>
    <row r="859" spans="5:7" ht="30">
      <c r="E859" s="24"/>
      <c r="G859" s="1"/>
    </row>
    <row r="860" spans="5:7" ht="30">
      <c r="E860" s="24"/>
      <c r="G860" s="1"/>
    </row>
    <row r="861" spans="5:7" ht="30">
      <c r="E861" s="24"/>
      <c r="G861" s="1"/>
    </row>
    <row r="862" spans="5:7" ht="30">
      <c r="E862" s="24"/>
      <c r="G862" s="1"/>
    </row>
    <row r="863" spans="5:7" ht="30">
      <c r="E863" s="24"/>
      <c r="G863" s="1"/>
    </row>
    <row r="864" spans="5:7" ht="30">
      <c r="E864" s="24"/>
      <c r="G864" s="1"/>
    </row>
    <row r="865" spans="5:7" ht="30">
      <c r="E865" s="24"/>
      <c r="G865" s="1"/>
    </row>
    <row r="866" spans="5:7" ht="30">
      <c r="E866" s="24"/>
      <c r="G866" s="1"/>
    </row>
    <row r="867" spans="5:7" ht="30">
      <c r="E867" s="24"/>
      <c r="G867" s="1"/>
    </row>
    <row r="868" spans="5:7" ht="30">
      <c r="E868" s="24"/>
      <c r="G868" s="1"/>
    </row>
    <row r="869" spans="5:7" ht="30">
      <c r="E869" s="24"/>
      <c r="G869" s="1"/>
    </row>
    <row r="870" spans="5:7" ht="30">
      <c r="E870" s="24"/>
      <c r="G870" s="1"/>
    </row>
    <row r="871" spans="5:7" ht="30">
      <c r="E871" s="24"/>
      <c r="G871" s="1"/>
    </row>
    <row r="872" spans="5:7" ht="30">
      <c r="E872" s="24"/>
      <c r="G872" s="1"/>
    </row>
    <row r="873" spans="5:7" ht="30">
      <c r="E873" s="24"/>
      <c r="G873" s="1"/>
    </row>
    <row r="874" spans="5:7" ht="30">
      <c r="E874" s="24"/>
      <c r="G874" s="1"/>
    </row>
    <row r="875" spans="5:7" ht="30">
      <c r="E875" s="24"/>
      <c r="G875" s="1"/>
    </row>
    <row r="876" spans="5:7" ht="30">
      <c r="E876" s="24"/>
      <c r="G876" s="1"/>
    </row>
    <row r="877" spans="5:7" ht="30">
      <c r="E877" s="24"/>
      <c r="G877" s="1"/>
    </row>
    <row r="878" spans="5:7" ht="30">
      <c r="E878" s="24"/>
      <c r="G878" s="1"/>
    </row>
    <row r="879" spans="5:7" ht="30">
      <c r="E879" s="24"/>
      <c r="G879" s="1"/>
    </row>
    <row r="880" spans="5:7" ht="30">
      <c r="E880" s="24"/>
      <c r="G880" s="1"/>
    </row>
    <row r="881" spans="5:7" ht="30">
      <c r="E881" s="24"/>
      <c r="G881" s="1"/>
    </row>
    <row r="882" spans="5:7" ht="30">
      <c r="E882" s="24"/>
      <c r="G882" s="1"/>
    </row>
    <row r="883" spans="5:7" ht="30">
      <c r="E883" s="24"/>
      <c r="G883" s="1"/>
    </row>
    <row r="884" spans="5:7" ht="30">
      <c r="E884" s="24"/>
      <c r="G884" s="1"/>
    </row>
    <row r="885" spans="5:7" ht="30">
      <c r="E885" s="24"/>
      <c r="G885" s="1"/>
    </row>
    <row r="886" spans="5:7" ht="30">
      <c r="E886" s="24"/>
      <c r="G886" s="1"/>
    </row>
    <row r="887" spans="5:7" ht="30">
      <c r="E887" s="24"/>
      <c r="G887" s="1"/>
    </row>
    <row r="888" spans="5:7" ht="30">
      <c r="E888" s="24"/>
      <c r="G888" s="1"/>
    </row>
    <row r="889" spans="5:7" ht="30">
      <c r="E889" s="24"/>
      <c r="G889" s="1"/>
    </row>
    <row r="890" spans="5:7" ht="30">
      <c r="E890" s="24"/>
      <c r="G890" s="1"/>
    </row>
    <row r="891" spans="5:7" ht="30">
      <c r="E891" s="24"/>
      <c r="G891" s="1"/>
    </row>
    <row r="892" spans="5:7" ht="30">
      <c r="E892" s="24"/>
      <c r="G892" s="1"/>
    </row>
    <row r="893" spans="5:7" ht="30">
      <c r="E893" s="24"/>
      <c r="G893" s="1"/>
    </row>
    <row r="894" spans="5:7" ht="13.2"/>
    <row r="895" spans="5:7" ht="13.2"/>
    <row r="896" spans="5:7" ht="13.2"/>
    <row r="897" ht="13.2"/>
    <row r="898" ht="13.2"/>
    <row r="899" ht="13.2"/>
  </sheetData>
  <mergeCells count="1">
    <mergeCell ref="A1:G4"/>
  </mergeCells>
  <conditionalFormatting sqref="E18:E21">
    <cfRule type="containsText" dxfId="3" priority="1" operator="containsText" text="نجح">
      <formula>NOT(ISERROR(SEARCH(("نجح"),(E18))))</formula>
    </cfRule>
    <cfRule type="containsText" dxfId="2" priority="2" operator="containsText" text="فشل">
      <formula>NOT(ISERROR(SEARCH(("فشل"),(E18))))</formula>
    </cfRule>
  </conditionalFormatting>
  <conditionalFormatting sqref="E22:E893">
    <cfRule type="containsText" dxfId="1" priority="7" operator="containsText" text="نجح">
      <formula>NOT(ISERROR(SEARCH(("نجح"),(E22))))</formula>
    </cfRule>
    <cfRule type="containsText" dxfId="0" priority="8" operator="containsText" text="فشل">
      <formula>NOT(ISERROR(SEARCH(("فشل"),(E22))))</formula>
    </cfRule>
  </conditionalFormatting>
  <dataValidations count="2">
    <dataValidation type="list" allowBlank="1" showInputMessage="1" showErrorMessage="1" sqref="G17:G21" xr:uid="{A625F43E-3377-4F35-8C92-B612F174FBED}">
      <formula1>$O$10:$O$12</formula1>
    </dataValidation>
    <dataValidation showDropDown="1" showInputMessage="1" showErrorMessage="1" sqref="C6:D6" xr:uid="{18108FCC-F36F-4894-A13D-EA43901537C3}"/>
  </dataValidations>
  <pageMargins left="0.7" right="0.7" top="0.75" bottom="0.75" header="0.3" footer="0.3"/>
  <pageSetup paperSize="9" orientation="portrait"/>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3c5b18-ca04-46a4-87bc-ea3677f99d09">
      <Terms xmlns="http://schemas.microsoft.com/office/infopath/2007/PartnerControls"/>
    </lcf76f155ced4ddcb4097134ff3c332f>
    <TaxCatchAll xmlns="21974170-737b-497c-8d25-cc5623e7d17e" xsi:nil="true"/>
    <SharedWithUsers xmlns="21974170-737b-497c-8d25-cc5623e7d17e">
      <UserInfo>
        <DisplayName>Abdullah Alyousef</DisplayName>
        <AccountId>24</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9AF9983A525A42A82800F2C7EA8DCA" ma:contentTypeVersion="14" ma:contentTypeDescription="Create a new document." ma:contentTypeScope="" ma:versionID="33ea53214a66fe9a8a10b8256ed7945f">
  <xsd:schema xmlns:xsd="http://www.w3.org/2001/XMLSchema" xmlns:xs="http://www.w3.org/2001/XMLSchema" xmlns:p="http://schemas.microsoft.com/office/2006/metadata/properties" xmlns:ns2="213c5b18-ca04-46a4-87bc-ea3677f99d09" xmlns:ns3="21974170-737b-497c-8d25-cc5623e7d17e" targetNamespace="http://schemas.microsoft.com/office/2006/metadata/properties" ma:root="true" ma:fieldsID="29ebd81a896bf1282c88ca6529745dec" ns2:_="" ns3:_="">
    <xsd:import namespace="213c5b18-ca04-46a4-87bc-ea3677f99d09"/>
    <xsd:import namespace="21974170-737b-497c-8d25-cc5623e7d1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3c5b18-ca04-46a4-87bc-ea3677f99d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07f7f4f1-51ea-4b4e-9497-7fdb743a22f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974170-737b-497c-8d25-cc5623e7d17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ec9b893-25e3-46b7-a2f5-4cce4d3eff13}" ma:internalName="TaxCatchAll" ma:showField="CatchAllData" ma:web="21974170-737b-497c-8d25-cc5623e7d17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C8D272-77E8-4B4D-8F3A-C59089C0765E}">
  <ds:schemaRefs>
    <ds:schemaRef ds:uri="http://schemas.microsoft.com/sharepoint/v3/contenttype/forms"/>
  </ds:schemaRefs>
</ds:datastoreItem>
</file>

<file path=customXml/itemProps2.xml><?xml version="1.0" encoding="utf-8"?>
<ds:datastoreItem xmlns:ds="http://schemas.openxmlformats.org/officeDocument/2006/customXml" ds:itemID="{929B229F-FCFF-4AA1-8EA1-B62AED0DFF8F}">
  <ds:schemaRefs>
    <ds:schemaRef ds:uri="http://schemas.microsoft.com/office/2006/metadata/properties"/>
    <ds:schemaRef ds:uri="http://schemas.microsoft.com/office/infopath/2007/PartnerControls"/>
    <ds:schemaRef ds:uri="213c5b18-ca04-46a4-87bc-ea3677f99d09"/>
    <ds:schemaRef ds:uri="21974170-737b-497c-8d25-cc5623e7d17e"/>
  </ds:schemaRefs>
</ds:datastoreItem>
</file>

<file path=customXml/itemProps3.xml><?xml version="1.0" encoding="utf-8"?>
<ds:datastoreItem xmlns:ds="http://schemas.openxmlformats.org/officeDocument/2006/customXml" ds:itemID="{51BD5F1A-759B-487C-9AAF-4B014D5B3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3c5b18-ca04-46a4-87bc-ea3677f99d09"/>
    <ds:schemaRef ds:uri="21974170-737b-497c-8d25-cc5623e7d1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رابط النظام وقائمة المستخدمين</vt:lpstr>
      <vt:lpstr>لوحة المعلومات</vt:lpstr>
      <vt:lpstr>مقترح تشكيل لجنة</vt:lpstr>
      <vt:lpstr>ادارة اللجان الداخلية </vt:lpstr>
      <vt:lpstr>ادارة اللجان الخارجية</vt:lpstr>
      <vt:lpstr>ادارة المجالس</vt:lpstr>
      <vt:lpstr>مهمة مسندة الى اخرين</vt:lpstr>
      <vt:lpstr>ادارة الاجتماعات</vt:lpstr>
      <vt:lpstr>التفويض</vt:lpstr>
      <vt:lpstr>التقارير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Reyouf Alharbi</dc:creator>
  <cp:keywords/>
  <dc:description/>
  <cp:lastModifiedBy>Esraa Almihyani</cp:lastModifiedBy>
  <cp:revision/>
  <dcterms:created xsi:type="dcterms:W3CDTF">2022-10-20T12:58:19Z</dcterms:created>
  <dcterms:modified xsi:type="dcterms:W3CDTF">2025-11-03T08:43:08Z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0x010100AD9AF9983A525A42A82800F2C7EA8DCA</vt:lpwstr>
  </property>
  <property fmtid="{D5CDD505-2E9C-101B-9397-08002B2CF9AE}" pid="3" name="MediaServiceImageTags">
    <vt:lpwstr/>
  </property>
</Properties>
</file>